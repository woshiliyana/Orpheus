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71e1c08be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651a44e6a33490e"/>
    <x:sheet xmlns:r="http://schemas.openxmlformats.org/officeDocument/2006/relationships" name="Plan Model" sheetId="2" r:id="R7f66f49544944a27"/>
    <x:sheet xmlns:r="http://schemas.openxmlformats.org/officeDocument/2006/relationships" name="Sensitivity" sheetId="3" r:id="R6ebcef80f4974319"/>
    <x:sheet xmlns:r="http://schemas.openxmlformats.org/officeDocument/2006/relationships" name="Sources" sheetId="4" r:id="R1ac6c0395fe4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$0.00"/>
    <x:numFmt numFmtId="203" formatCode="0.00"/>
  </x:numFmts>
  <x:fonts count="5">
    <x:font>
      <x:sz val="11"/>
      <x:name val="Carlito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sz val="10"/>
      <x:color theme="1"/>
      <x:name val="Calibri"/>
    </x:font>
    <x:font>
      <x:b/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"/>
      </x:patternFill>
    </x:fill>
    <x:fill>
      <x:patternFill patternType="solid">
        <x:fgColor theme="4" tint="0.82"/>
      </x:patternFill>
    </x:fill>
    <x:fill>
      <x:patternFill patternType="solid">
        <x:fgColor theme="4" tint="0.88"/>
      </x:patternFill>
    </x:fill>
  </x:fills>
  <x:borders count="42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E5E7EB"/>
      </x:top>
    </x:border>
    <x:border>
      <x:bottom style="thin">
        <x:color rgb="E5E7EB"/>
      </x:bottom>
    </x:border>
    <x:border>
      <x:top style="thin">
        <x:color rgb="E5E7EB"/>
      </x:top>
    </x:border>
    <x:border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</x:border>
    <x:border>
      <x:right style="thin">
        <x:color rgb="D1D5DB"/>
      </x:right>
    </x:border>
    <x:border>
      <x:left style="thin">
        <x:color rgb="D1D5DB"/>
      </x:left>
      <x:right style="thin">
        <x:color rgb="E5E7EB"/>
      </x:right>
    </x:border>
    <x:border>
      <x:left style="thin">
        <x:color rgb="D1D5DB"/>
      </x:left>
      <x:right style="thin">
        <x:color rgb="E5E7EB"/>
      </x:righ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</x:border>
    <x:border>
      <x:right style="thin">
        <x:color rgb="D1D5DB"/>
      </x:right>
    </x:border>
    <x:border>
      <x:left style="thin">
        <x:color rgb="D1D5DB"/>
      </x:left>
      <x:right style="thin">
        <x:color rgb="E5E7EB"/>
      </x:right>
    </x:border>
    <x:border>
      <x:left style="thin">
        <x:color rgb="D1D5DB"/>
      </x:left>
      <x:right style="thin">
        <x:color rgb="E5E7EB"/>
      </x:righ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</x:borders>
  <x:cellStyleXfs count="1">
    <x:xf numFmtId="0" fontId="0" fillId="0" borderId="0"/>
  </x:cellStyleXfs>
  <x:cellXfs count="2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2" fontId="3" fillId="0" borderId="9" xfId="0" applyNumberFormat="1" applyFont="1" applyFill="1" applyBorder="1" applyAlignment="1">
      <x:alignment vertical="center"/>
    </x:xf>
    <x:xf numFmtId="202" fontId="3" fillId="0" borderId="15" xfId="0" applyNumberFormat="1" applyFont="1" applyFill="1" applyBorder="1" applyAlignment="1">
      <x:alignment vertical="center"/>
    </x:xf>
    <x:xf numFmtId="202" fontId="3" fillId="0" borderId="11" xfId="0" applyNumberFormat="1" applyFont="1" applyFill="1" applyBorder="1" applyAlignment="1">
      <x:alignment vertical="center"/>
    </x:xf>
    <x:xf numFmtId="202" fontId="3" fillId="0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18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18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19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19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19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22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203" fontId="3" fillId="0" borderId="2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21" xfId="0" applyNumberFormat="1" applyFont="1" applyFill="1" applyBorder="1" applyAlignment="1">
      <x:alignment vertical="center"/>
    </x:xf>
    <x:xf numFmtId="203" fontId="3" fillId="0" borderId="22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3" fillId="0" borderId="23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0" fontId="3" fillId="0" borderId="15" xfId="0" applyNumberFormat="1" applyFont="1" applyFill="1" applyBorder="1" applyAlignment="1">
      <x:alignment vertical="center"/>
    </x:xf>
    <x:xf numFmtId="200" fontId="3" fillId="0" borderId="17" xfId="0" applyNumberFormat="1" applyFont="1" applyFill="1" applyBorder="1" applyAlignment="1">
      <x:alignment vertical="center"/>
    </x:xf>
    <x:xf numFmtId="202" fontId="3" fillId="0" borderId="2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21" xfId="0" applyNumberFormat="1" applyFont="1" applyFill="1" applyBorder="1" applyAlignment="1">
      <x:alignment vertical="center"/>
    </x:xf>
    <x:xf numFmtId="202" fontId="3" fillId="0" borderId="22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0" borderId="23" xfId="0" applyNumberFormat="1" applyFont="1" applyFill="1" applyBorder="1" applyAlignment="1">
      <x:alignment vertical="center"/>
    </x:xf>
    <x:xf numFmtId="200" fontId="3" fillId="0" borderId="2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21" xfId="0" applyNumberFormat="1" applyFont="1" applyFill="1" applyBorder="1" applyAlignment="1">
      <x:alignment vertical="center"/>
    </x:xf>
    <x:xf numFmtId="200" fontId="3" fillId="0" borderId="22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3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2" fontId="3" fillId="0" borderId="13" xfId="0" applyNumberFormat="1" applyFont="1" applyFill="1" applyBorder="1" applyAlignment="1">
      <x:alignment vertical="center"/>
    </x:xf>
    <x:xf numFmtId="201" fontId="3" fillId="0" borderId="11" xfId="0" applyNumberFormat="1" applyFont="1" applyFill="1" applyBorder="1" applyAlignment="1">
      <x:alignment vertical="center"/>
    </x:xf>
    <x:xf numFmtId="201" fontId="3" fillId="0" borderId="17" xfId="0" applyNumberFormat="1" applyFont="1" applyFill="1" applyBorder="1" applyAlignment="1">
      <x:alignment vertical="center"/>
    </x:xf>
    <x:xf numFmtId="201" fontId="3" fillId="0" borderId="20" xfId="0" applyNumberFormat="1" applyFont="1" applyFill="1" applyBorder="1" applyAlignment="1">
      <x:alignment vertical="center"/>
    </x:xf>
    <x:xf numFmtId="201" fontId="3" fillId="0" borderId="21" xfId="0" applyNumberFormat="1" applyFont="1" applyFill="1" applyBorder="1" applyAlignment="1">
      <x:alignment vertical="center"/>
    </x:xf>
    <x:xf numFmtId="201" fontId="3" fillId="0" borderId="22" xfId="0" applyNumberFormat="1" applyFont="1" applyFill="1" applyBorder="1" applyAlignment="1">
      <x:alignment vertical="center"/>
    </x:xf>
    <x:xf numFmtId="201" fontId="3" fillId="0" borderId="23" xfId="0" applyNumberFormat="1" applyFont="1" applyFill="1" applyBorder="1" applyAlignment="1">
      <x:alignment vertical="center"/>
    </x:xf>
    <x:xf numFmtId="0" fontId="3" fillId="0" borderId="24" xfId="0" applyNumberFormat="1" applyFont="1" applyFill="1" applyBorder="1"/>
    <x:xf numFmtId="0" fontId="3" fillId="0" borderId="25" xfId="0" applyNumberFormat="1" applyFont="1" applyFill="1" applyBorder="1"/>
    <x:xf numFmtId="0" fontId="3" fillId="0" borderId="26" xfId="0" applyNumberFormat="1" applyFont="1" applyFill="1" applyBorder="1"/>
    <x:xf numFmtId="0" fontId="3" fillId="0" borderId="24" xfId="0" applyNumberFormat="1" applyFont="1" applyFill="1" applyBorder="1" applyAlignment="1">
      <x:alignment vertical="center"/>
    </x:xf>
    <x:xf numFmtId="0" fontId="3" fillId="0" borderId="25" xfId="0" applyNumberFormat="1" applyFont="1" applyFill="1" applyBorder="1" applyAlignment="1">
      <x:alignment vertical="center"/>
    </x:xf>
    <x:xf numFmtId="0" fontId="3" fillId="0" borderId="26" xfId="0" applyNumberFormat="1" applyFont="1" applyFill="1" applyBorder="1" applyAlignment="1">
      <x:alignment vertical="center"/>
    </x:xf>
    <x:xf numFmtId="0" fontId="3" fillId="0" borderId="27" xfId="0" applyNumberFormat="1" applyFont="1" applyFill="1" applyBorder="1"/>
    <x:xf numFmtId="0" fontId="3" fillId="0" borderId="28" xfId="0" applyNumberFormat="1" applyFont="1" applyFill="1" applyBorder="1"/>
    <x:xf numFmtId="0" fontId="3" fillId="0" borderId="29" xfId="0" applyNumberFormat="1" applyFont="1" applyFill="1" applyBorder="1"/>
    <x:xf numFmtId="0" fontId="3" fillId="0" borderId="27" xfId="0" applyNumberFormat="1" applyFont="1" applyFill="1" applyBorder="1" applyAlignment="1">
      <x:alignment vertical="center"/>
    </x:xf>
    <x:xf numFmtId="0" fontId="3" fillId="0" borderId="28" xfId="0" applyNumberFormat="1" applyFont="1" applyFill="1" applyBorder="1" applyAlignment="1">
      <x:alignment vertical="center"/>
    </x:xf>
    <x:xf numFmtId="0" fontId="3" fillId="0" borderId="29" xfId="0" applyNumberFormat="1" applyFont="1" applyFill="1" applyBorder="1" applyAlignment="1">
      <x:alignment vertical="center"/>
    </x:xf>
    <x:xf numFmtId="203" fontId="3" fillId="0" borderId="24" xfId="0" applyNumberFormat="1" applyFont="1" applyFill="1" applyBorder="1" applyAlignment="1">
      <x:alignment vertical="center"/>
    </x:xf>
    <x:xf numFmtId="203" fontId="3" fillId="0" borderId="25" xfId="0" applyNumberFormat="1" applyFont="1" applyFill="1" applyBorder="1" applyAlignment="1">
      <x:alignment vertical="center"/>
    </x:xf>
    <x:xf numFmtId="203" fontId="3" fillId="0" borderId="26" xfId="0" applyNumberFormat="1" applyFont="1" applyFill="1" applyBorder="1" applyAlignment="1">
      <x:alignment vertical="center"/>
    </x:xf>
    <x:xf numFmtId="203" fontId="3" fillId="0" borderId="27" xfId="0" applyNumberFormat="1" applyFont="1" applyFill="1" applyBorder="1" applyAlignment="1">
      <x:alignment vertical="center"/>
    </x:xf>
    <x:xf numFmtId="203" fontId="3" fillId="0" borderId="28" xfId="0" applyNumberFormat="1" applyFont="1" applyFill="1" applyBorder="1" applyAlignment="1">
      <x:alignment vertical="center"/>
    </x:xf>
    <x:xf numFmtId="203" fontId="3" fillId="0" borderId="2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3" fillId="0" borderId="30" xfId="0" applyNumberFormat="1" applyFont="1" applyFill="1" applyBorder="1" applyAlignment="1">
      <x:alignment vertical="center"/>
    </x:xf>
    <x:xf numFmtId="201" fontId="0" fillId="0" borderId="31" xfId="0" applyNumberFormat="1" applyFont="1" applyFill="1" applyBorder="1"/>
    <x:xf numFmtId="203" fontId="3" fillId="0" borderId="32" xfId="0" applyNumberFormat="1" applyFont="1" applyFill="1" applyBorder="1" applyAlignment="1">
      <x:alignment vertical="center"/>
    </x:xf>
    <x:xf numFmtId="203" fontId="3" fillId="0" borderId="33" xfId="0" applyNumberFormat="1" applyFont="1" applyFill="1" applyBorder="1" applyAlignment="1">
      <x:alignment vertical="center"/>
    </x:xf>
    <x:xf numFmtId="201" fontId="0" fillId="0" borderId="34" xfId="0" applyNumberFormat="1" applyFont="1" applyFill="1" applyBorder="1"/>
    <x:xf numFmtId="201" fontId="0" fillId="0" borderId="35" xfId="0" applyNumberFormat="1" applyFont="1" applyFill="1" applyBorder="1"/>
    <x:xf numFmtId="203" fontId="3" fillId="0" borderId="36" xfId="0" applyNumberFormat="1" applyFont="1" applyFill="1" applyBorder="1" applyAlignment="1">
      <x:alignment vertical="center"/>
    </x:xf>
    <x:xf numFmtId="201" fontId="0" fillId="0" borderId="37" xfId="0" applyNumberFormat="1" applyFont="1" applyFill="1" applyBorder="1"/>
    <x:xf numFmtId="203" fontId="3" fillId="0" borderId="38" xfId="0" applyNumberFormat="1" applyFont="1" applyFill="1" applyBorder="1" applyAlignment="1">
      <x:alignment vertical="center"/>
    </x:xf>
    <x:xf numFmtId="203" fontId="3" fillId="0" borderId="39" xfId="0" applyNumberFormat="1" applyFont="1" applyFill="1" applyBorder="1" applyAlignment="1">
      <x:alignment vertical="center"/>
    </x:xf>
    <x:xf numFmtId="201" fontId="0" fillId="0" borderId="40" xfId="0" applyNumberFormat="1" applyFont="1" applyFill="1" applyBorder="1"/>
    <x:xf numFmtId="201" fontId="0" fillId="0" borderId="41" xfId="0" applyNumberFormat="1" applyFont="1" applyFill="1" applyBorder="1"/>
    <x:xf numFmtId="0" fontId="3" fillId="0" borderId="2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8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19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19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201" fontId="3" fillId="0" borderId="0" xfId="0" applyNumberFormat="1" applyFont="1" applyFill="1" applyBorder="1"/>
    <x:xf numFmtId="201" fontId="3" fillId="0" borderId="31" xfId="0" applyNumberFormat="1" applyFont="1" applyFill="1" applyBorder="1"/>
    <x:xf numFmtId="201" fontId="3" fillId="0" borderId="34" xfId="0" applyNumberFormat="1" applyFont="1" applyFill="1" applyBorder="1"/>
    <x:xf numFmtId="201" fontId="3" fillId="0" borderId="35" xfId="0" applyNumberFormat="1" applyFont="1" applyFill="1" applyBorder="1"/>
    <x:xf numFmtId="201" fontId="3" fillId="0" borderId="1" xfId="0" applyNumberFormat="1" applyFont="1" applyFill="1" applyBorder="1"/>
    <x:xf numFmtId="201" fontId="3" fillId="0" borderId="37" xfId="0" applyNumberFormat="1" applyFont="1" applyFill="1" applyBorder="1"/>
    <x:xf numFmtId="201" fontId="3" fillId="0" borderId="40" xfId="0" applyNumberFormat="1" applyFont="1" applyFill="1" applyBorder="1"/>
    <x:xf numFmtId="201" fontId="3" fillId="0" borderId="41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0" borderId="31" xfId="0" applyNumberFormat="1" applyFont="1" applyFill="1" applyBorder="1" applyAlignment="1">
      <x:alignment vertical="center"/>
    </x:xf>
    <x:xf numFmtId="201" fontId="3" fillId="0" borderId="34" xfId="0" applyNumberFormat="1" applyFont="1" applyFill="1" applyBorder="1" applyAlignment="1">
      <x:alignment vertical="center"/>
    </x:xf>
    <x:xf numFmtId="201" fontId="3" fillId="0" borderId="35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37" xfId="0" applyNumberFormat="1" applyFont="1" applyFill="1" applyBorder="1" applyAlignment="1">
      <x:alignment vertical="center"/>
    </x:xf>
    <x:xf numFmtId="201" fontId="3" fillId="0" borderId="40" xfId="0" applyNumberFormat="1" applyFont="1" applyFill="1" applyBorder="1" applyAlignment="1">
      <x:alignment vertical="center"/>
    </x:xf>
    <x:xf numFmtId="201" fontId="3" fillId="0" borderId="41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202" fontId="3" fillId="0" borderId="20" xfId="0" applyNumberFormat="1" applyFont="1" applyFill="1" applyBorder="1" applyAlignment="1">
      <x:alignment vertical="center" wrapText="1"/>
    </x:xf>
    <x:xf numFmtId="200" fontId="3" fillId="0" borderId="20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2" fontId="3" fillId="0" borderId="21" xfId="0" applyNumberFormat="1" applyFont="1" applyFill="1" applyBorder="1" applyAlignment="1">
      <x:alignment vertical="center" wrapText="1"/>
    </x:xf>
    <x:xf numFmtId="200" fontId="3" fillId="0" borderId="21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1" fontId="3" fillId="0" borderId="20" xfId="0" applyNumberFormat="1" applyFont="1" applyFill="1" applyBorder="1" applyAlignment="1">
      <x:alignment vertical="center" wrapText="1"/>
    </x:xf>
    <x:xf numFmtId="201" fontId="3" fillId="0" borderId="2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202" fontId="3" fillId="0" borderId="22" xfId="0" applyNumberFormat="1" applyFont="1" applyFill="1" applyBorder="1" applyAlignment="1">
      <x:alignment vertical="center" wrapText="1"/>
    </x:xf>
    <x:xf numFmtId="200" fontId="3" fillId="0" borderId="22" xfId="0" applyNumberFormat="1" applyFont="1" applyFill="1" applyBorder="1" applyAlignment="1">
      <x:alignment vertical="center" wrapText="1"/>
    </x:xf>
    <x:xf numFmtId="201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202" fontId="3" fillId="0" borderId="23" xfId="0" applyNumberFormat="1" applyFont="1" applyFill="1" applyBorder="1" applyAlignment="1">
      <x:alignment vertical="center" wrapText="1"/>
    </x:xf>
    <x:xf numFmtId="200" fontId="3" fillId="0" borderId="23" xfId="0" applyNumberFormat="1" applyFont="1" applyFill="1" applyBorder="1" applyAlignment="1">
      <x:alignment vertical="center" wrapText="1"/>
    </x:xf>
    <x:xf numFmtId="201" fontId="3" fillId="0" borderId="17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1" fontId="3" fillId="0" borderId="22" xfId="0" applyNumberFormat="1" applyFont="1" applyFill="1" applyBorder="1" applyAlignment="1">
      <x:alignment vertical="center" wrapText="1"/>
    </x:xf>
    <x:xf numFmtId="201" fontId="3" fillId="0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19568e69e4ac7" /><Relationship Type="http://schemas.openxmlformats.org/officeDocument/2006/relationships/theme" Target="/xl/theme/theme1.xml" Id="R13a6adf4e8524553" /><Relationship Type="http://schemas.openxmlformats.org/officeDocument/2006/relationships/sharedStrings" Target="/xl/sharedStrings.xml" Id="R79b614d4d6654528" /><Relationship Type="http://schemas.openxmlformats.org/officeDocument/2006/relationships/worksheet" Target="/xl/worksheets/sheet1.xml" Id="R2651a44e6a33490e" /><Relationship Type="http://schemas.openxmlformats.org/officeDocument/2006/relationships/worksheet" Target="/xl/worksheets/sheet2.xml" Id="R7f66f49544944a27" /><Relationship Type="http://schemas.openxmlformats.org/officeDocument/2006/relationships/worksheet" Target="/xl/worksheets/sheet3.xml" Id="R6ebcef80f4974319" /><Relationship Type="http://schemas.openxmlformats.org/officeDocument/2006/relationships/worksheet" Target="/xl/worksheets/sheet4.xml" Id="R1ac6c0395fe4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4" max="4" width="28" hidden="0" customWidth="1"/>
    <x:col min="5" max="5" width="14" hidden="0" customWidth="1"/>
    <x:col min="6" max="6" width="22" hidden="0" customWidth="1"/>
  </x:cols>
  <x:sheetData>
    <x:row r="1" ht="24.4140625" hidden="0" customHeight="1">
      <x:c r="A1" s="170" t="str">
        <x:v>Orpheus pricing / unit-economics working model</x:v>
      </x:c>
      <x:c r="B1" s="170"/>
      <x:c r="C1" s="170"/>
      <x:c r="D1" s="170"/>
      <x:c r="E1" s="170"/>
      <x:c r="F1" s="170"/>
      <x:c r="G1" s="170"/>
      <x:c r="H1" s="87"/>
      <x:c r="I1" s="87"/>
      <x:c r="J1" s="87"/>
      <x:c r="K1" s="87"/>
    </x:row>
    <x:row r="2" ht="15" hidden="0" customHeight="1">
      <x:c r="A2" s="170"/>
      <x:c r="B2" s="170"/>
      <x:c r="C2" s="170"/>
      <x:c r="D2" s="170"/>
      <x:c r="E2" s="170"/>
      <x:c r="F2" s="170"/>
      <x:c r="G2" s="170"/>
      <x:c r="H2" s="87"/>
      <x:c r="I2" s="87"/>
      <x:c r="J2" s="87"/>
      <x:c r="K2" s="87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  <x:c r="J3" s="87"/>
      <x:c r="K3" s="87"/>
    </x:row>
    <x:row r="4" ht="15" hidden="0" customHeight="1">
      <x:c r="A4" s="178" t="str">
        <x:v>Core assumptions</x:v>
      </x:c>
      <x:c r="B4" s="179"/>
      <x:c r="C4" s="87"/>
      <x:c r="D4" s="178" t="str">
        <x:v>Provider rate inputs</x:v>
      </x:c>
      <x:c r="E4" s="180"/>
      <x:c r="F4" s="179"/>
      <x:c r="G4" s="87"/>
      <x:c r="H4" s="87"/>
      <x:c r="I4" s="87"/>
      <x:c r="J4" s="87"/>
      <x:c r="K4" s="87"/>
    </x:row>
    <x:row r="5" ht="15" hidden="0" customHeight="1">
      <x:c r="A5" s="27" t="str">
        <x:v>Characters per audio minute</x:v>
      </x:c>
      <x:c r="B5" s="46" t="n">
        <x:v>900</x:v>
      </x:c>
      <x:c r="C5" s="87"/>
      <x:c r="D5" s="67" t="str">
        <x:v>Provider / metric</x:v>
      </x:c>
      <x:c r="E5" s="68" t="str">
        <x:v>Unit rate</x:v>
      </x:c>
      <x:c r="F5" s="69" t="str">
        <x:v>Notes</x:v>
      </x:c>
      <x:c r="G5" s="87"/>
      <x:c r="H5" s="87"/>
      <x:c r="I5" s="87"/>
      <x:c r="J5" s="87"/>
      <x:c r="K5" s="87"/>
    </x:row>
    <x:row r="6" ht="15" hidden="0" customHeight="1">
      <x:c r="A6" s="29" t="str">
        <x:v>Retry overhead factor</x:v>
      </x:c>
      <x:c r="B6" s="48" t="n">
        <x:v>1.2</x:v>
      </x:c>
      <x:c r="C6" s="87"/>
      <x:c r="D6" s="27" t="str">
        <x:v>Inworld TTS Max</x:v>
      </x:c>
      <x:c r="E6" s="94" t="n">
        <x:v>30</x:v>
      </x:c>
      <x:c r="F6" s="28" t="str">
        <x:v>$ per 1M chars</x:v>
      </x:c>
      <x:c r="G6" s="87"/>
      <x:c r="H6" s="87"/>
      <x:c r="I6" s="87"/>
      <x:c r="J6" s="87"/>
      <x:c r="K6" s="87"/>
    </x:row>
    <x:row r="7" ht="15" hidden="0" customHeight="1">
      <x:c r="A7" s="29" t="str">
        <x:v>Alignment cost per completed minute</x:v>
      </x:c>
      <x:c r="B7" s="50" t="n">
        <x:v>0.003</x:v>
      </x:c>
      <x:c r="C7" s="87"/>
      <x:c r="D7" s="29" t="str">
        <x:v>Inworld TTS Mini</x:v>
      </x:c>
      <x:c r="E7" s="95" t="n">
        <x:v>15</x:v>
      </x:c>
      <x:c r="F7" s="30" t="str">
        <x:v>$ per 1M chars</x:v>
      </x:c>
      <x:c r="G7" s="87"/>
      <x:c r="H7" s="87"/>
      <x:c r="I7" s="87"/>
      <x:c r="J7" s="87"/>
      <x:c r="K7" s="87"/>
    </x:row>
    <x:row r="8" ht="15" hidden="0" customHeight="1">
      <x:c r="A8" s="29" t="str">
        <x:v>Storage / delivery allocation per minute</x:v>
      </x:c>
      <x:c r="B8" s="50" t="n">
        <x:v>0.002</x:v>
      </x:c>
      <x:c r="C8" s="87"/>
      <x:c r="D8" s="29" t="str">
        <x:v>ElevenLabs Flash / Turbo</x:v>
      </x:c>
      <x:c r="E8" s="95" t="n">
        <x:v>50</x:v>
      </x:c>
      <x:c r="F8" s="30" t="str">
        <x:v>$ per 1M chars</x:v>
      </x:c>
      <x:c r="G8" s="87"/>
      <x:c r="H8" s="87"/>
      <x:c r="I8" s="87"/>
      <x:c r="J8" s="87"/>
      <x:c r="K8" s="87"/>
    </x:row>
    <x:row r="9" ht="15" hidden="0" customHeight="1">
      <x:c r="A9" s="29" t="str">
        <x:v>Primary provider share</x:v>
      </x:c>
      <x:c r="B9" s="48" t="n">
        <x:v>0.85</x:v>
      </x:c>
      <x:c r="C9" s="87"/>
      <x:c r="D9" s="29" t="str">
        <x:v>ElevenLabs Multilingual</x:v>
      </x:c>
      <x:c r="E9" s="95" t="n">
        <x:v>100</x:v>
      </x:c>
      <x:c r="F9" s="30" t="str">
        <x:v>$ per 1M chars</x:v>
      </x:c>
      <x:c r="G9" s="87"/>
      <x:c r="H9" s="87"/>
      <x:c r="I9" s="87"/>
      <x:c r="J9" s="87"/>
      <x:c r="K9" s="87"/>
    </x:row>
    <x:row r="10" ht="15" hidden="0" customHeight="1">
      <x:c r="A10" s="29" t="str">
        <x:v>Fallback provider share</x:v>
      </x:c>
      <x:c r="B10" s="48" t="n">
        <x:v>0.15</x:v>
      </x:c>
      <x:c r="C10" s="87"/>
      <x:c r="D10" s="29" t="str">
        <x:v>Speechify API</x:v>
      </x:c>
      <x:c r="E10" s="95" t="n">
        <x:v>10</x:v>
      </x:c>
      <x:c r="F10" s="30" t="str">
        <x:v>$ per 1M chars</x:v>
      </x:c>
      <x:c r="G10" s="87"/>
      <x:c r="H10" s="87"/>
      <x:c r="I10" s="87"/>
      <x:c r="J10" s="87"/>
      <x:c r="K10" s="87"/>
    </x:row>
    <x:row r="11" ht="15" hidden="0" customHeight="1">
      <x:c r="A11" s="29" t="str">
        <x:v>Pro payment / support allocation</x:v>
      </x:c>
      <x:c r="B11" s="50" t="n">
        <x:v>2</x:v>
      </x:c>
      <x:c r="C11" s="87"/>
      <x:c r="D11" s="29" t="str">
        <x:v>Cartesia Scale (derived)</x:v>
      </x:c>
      <x:c r="E11" s="95" t="n">
        <x:v>29.875</x:v>
      </x:c>
      <x:c r="F11" s="30" t="str">
        <x:v>$ per 1M chars</x:v>
      </x:c>
      <x:c r="G11" s="87"/>
      <x:c r="H11" s="87"/>
      <x:c r="I11" s="87"/>
      <x:c r="J11" s="87"/>
      <x:c r="K11" s="87"/>
    </x:row>
    <x:row r="12" ht="15" hidden="0" customHeight="1">
      <x:c r="A12" s="31" t="str">
        <x:v>Ultimate payment / support allocation</x:v>
      </x:c>
      <x:c r="B12" s="52" t="n">
        <x:v>4</x:v>
      </x:c>
      <x:c r="C12" s="87"/>
      <x:c r="D12" s="29" t="str">
        <x:v>Google STT standard</x:v>
      </x:c>
      <x:c r="E12" s="95" t="n">
        <x:v>0.016</x:v>
      </x:c>
      <x:c r="F12" s="30" t="str">
        <x:v>$ per min</x:v>
      </x:c>
      <x:c r="G12" s="87"/>
      <x:c r="H12" s="87"/>
      <x:c r="I12" s="87"/>
      <x:c r="J12" s="87"/>
      <x:c r="K12" s="87"/>
    </x:row>
    <x:row r="13" ht="15" hidden="0" customHeight="1">
      <x:c r="A13" s="87"/>
      <x:c r="B13" s="87"/>
      <x:c r="C13" s="87"/>
      <x:c r="D13" s="31" t="str">
        <x:v>Google STT dynamic batch</x:v>
      </x:c>
      <x:c r="E13" s="96" t="n">
        <x:v>0.003</x:v>
      </x:c>
      <x:c r="F13" s="32" t="str">
        <x:v>$ per min</x:v>
      </x:c>
      <x:c r="G13" s="87"/>
      <x:c r="H13" s="87"/>
      <x:c r="I13" s="87"/>
      <x:c r="J13" s="87"/>
      <x:c r="K13" s="87"/>
    </x:row>
    <x:row r="14" ht="15" hidden="0" customHeight="1">
      <x:c r="A14" s="178" t="str">
        <x:v>Working review guidance</x:v>
      </x:c>
      <x:c r="B14" s="179"/>
      <x:c r="C14" s="87"/>
      <x:c r="D14" s="87"/>
      <x:c r="E14" s="87"/>
      <x:c r="F14" s="87"/>
      <x:c r="G14" s="87"/>
      <x:c r="H14" s="87"/>
      <x:c r="I14" s="87"/>
      <x:c r="J14" s="87"/>
      <x:c r="K14" s="87"/>
    </x:row>
    <x:row r="15" ht="15" hidden="0" customHeight="1">
      <x:c r="A15" s="27" t="str">
        <x:v>Gross margin floor</x:v>
      </x:c>
      <x:c r="B15" s="100" t="n">
        <x:v>0.7</x:v>
      </x:c>
      <x:c r="C15" s="87"/>
      <x:c r="D15" s="178" t="str">
        <x:v>Blended working stack</x:v>
      </x:c>
      <x:c r="E15" s="180"/>
      <x:c r="F15" s="179"/>
      <x:c r="G15" s="87"/>
      <x:c r="H15" s="87"/>
      <x:c r="I15" s="87"/>
      <x:c r="J15" s="87"/>
      <x:c r="K15" s="87"/>
    </x:row>
    <x:row r="16" ht="15" hidden="0" customHeight="1">
      <x:c r="A16" s="29" t="str">
        <x:v>Pro p50 realized minutes</x:v>
      </x:c>
      <x:c r="B16" s="102" t="n">
        <x:v>45</x:v>
      </x:c>
      <x:c r="C16" s="87"/>
      <x:c r="D16" s="27" t="str">
        <x:v>Primary TTS rate ($ / 1M chars)</x:v>
      </x:c>
      <x:c r="E16" s="94" t="n">
        <x:f>E6</x:f>
        <x:v>30</x:v>
      </x:c>
      <x:c r="F16" s="28" t="str">
        <x:v>linked from Inworld Max</x:v>
      </x:c>
      <x:c r="G16" s="87"/>
      <x:c r="H16" s="87"/>
      <x:c r="I16" s="87"/>
      <x:c r="J16" s="87"/>
      <x:c r="K16" s="87"/>
    </x:row>
    <x:row r="17" ht="15" hidden="0" customHeight="1">
      <x:c r="A17" s="29" t="str">
        <x:v>Pro p90 realized minutes</x:v>
      </x:c>
      <x:c r="B17" s="102" t="n">
        <x:v>81</x:v>
      </x:c>
      <x:c r="C17" s="87"/>
      <x:c r="D17" s="29" t="str">
        <x:v>Fallback TTS rate ($ / 1M chars)</x:v>
      </x:c>
      <x:c r="E17" s="95" t="n">
        <x:f>E11</x:f>
        <x:v>29.875</x:v>
      </x:c>
      <x:c r="F17" s="30" t="str">
        <x:v>linked from Cartesia Scale</x:v>
      </x:c>
      <x:c r="G17" s="87"/>
      <x:c r="H17" s="87"/>
      <x:c r="I17" s="87"/>
      <x:c r="J17" s="87"/>
      <x:c r="K17" s="87"/>
    </x:row>
    <x:row r="18" ht="15" hidden="0" customHeight="1">
      <x:c r="A18" s="31" t="str">
        <x:v>Ultimate p90 realized minutes</x:v>
      </x:c>
      <x:c r="B18" s="103" t="n">
        <x:v>240</x:v>
      </x:c>
      <x:c r="C18" s="87"/>
      <x:c r="D18" s="31" t="str">
        <x:v>Blended TTS rate ($ / 1M chars)</x:v>
      </x:c>
      <x:c r="E18" s="96" t="n">
        <x:f>E16*$B$9+E17*$B$10</x:f>
        <x:v>29.98125</x:v>
      </x:c>
      <x:c r="F18" s="32" t="str">
        <x:v>share-weighted</x:v>
      </x:c>
      <x:c r="G18" s="87"/>
      <x:c r="H18" s="87"/>
      <x:c r="I18" s="87"/>
      <x:c r="J18" s="87"/>
      <x:c r="K18" s="87"/>
    </x:row>
    <x:row r="19">
      <x:c r="A19" s="87"/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</x:row>
    <x:row r="20">
      <x:c r="A20" s="87"/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</x:row>
    <x:row r="21">
      <x:c r="A21" s="87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</x:row>
    <x:row r="22">
      <x:c r="A22" s="87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</x:row>
    <x:row r="23">
      <x:c r="A23" s="87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</x:row>
    <x:row r="24">
      <x:c r="A24" s="87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</x:row>
    <x:row r="25">
      <x:c r="A25" s="87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</x:row>
    <x:row r="26">
      <x:c r="A26" s="87"/>
      <x:c r="B26" s="87"/>
      <x:c r="C26" s="87"/>
      <x:c r="D26" s="87"/>
      <x:c r="E26" s="87"/>
      <x:c r="F26" s="87"/>
      <x:c r="G26" s="87"/>
      <x:c r="H26" s="87"/>
      <x:c r="I26" s="87"/>
      <x:c r="J26" s="87"/>
      <x:c r="K26" s="87"/>
    </x:row>
    <x:row r="27">
      <x:c r="A27" s="87"/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</x:row>
    <x:row r="28">
      <x:c r="A28" s="87"/>
      <x:c r="B28" s="87"/>
      <x:c r="C28" s="87"/>
      <x:c r="D28" s="87"/>
      <x:c r="E28" s="87"/>
      <x:c r="F28" s="87"/>
      <x:c r="G28" s="87"/>
      <x:c r="H28" s="87"/>
      <x:c r="I28" s="87"/>
      <x:c r="J28" s="87"/>
      <x:c r="K28" s="87"/>
    </x:row>
    <x:row r="29">
      <x:c r="A29" s="87"/>
      <x:c r="B29" s="87"/>
      <x:c r="C29" s="87"/>
      <x:c r="D29" s="87"/>
      <x:c r="E29" s="87"/>
      <x:c r="F29" s="87"/>
      <x:c r="G29" s="87"/>
      <x:c r="H29" s="87"/>
      <x:c r="I29" s="87"/>
      <x:c r="J29" s="87"/>
      <x:c r="K29" s="87"/>
    </x:row>
    <x:row r="30">
      <x:c r="A30" s="87"/>
      <x:c r="B30" s="87"/>
      <x:c r="C30" s="87"/>
      <x:c r="D30" s="87"/>
      <x:c r="E30" s="87"/>
      <x:c r="F30" s="87"/>
      <x:c r="G30" s="87"/>
      <x:c r="H30" s="87"/>
      <x:c r="I30" s="87"/>
      <x:c r="J30" s="87"/>
      <x:c r="K30" s="87"/>
    </x:row>
  </x:sheetData>
  <x:mergeCells>
    <x:mergeCell ref="A1:G2"/>
    <x:mergeCell ref="A4:B4"/>
    <x:mergeCell ref="D4:F4"/>
    <x:mergeCell ref="D15:F15"/>
    <x:mergeCell ref="A14:B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5" hidden="0" customHeight="1">
      <x:c r="A1" s="184" t="str">
        <x:v>Plan packaging and margin view</x:v>
      </x:c>
      <x:c r="B1" s="184"/>
      <x:c r="C1" s="184"/>
      <x:c r="D1" s="184"/>
      <x:c r="E1" s="184"/>
      <x:c r="F1" s="184"/>
      <x:c r="G1" s="184"/>
      <x:c r="H1" s="184"/>
      <x:c r="I1" s="87"/>
      <x:c r="J1" s="87"/>
      <x:c r="K1" s="87"/>
    </x:row>
    <x:row r="2" ht="15" hidden="0" customHeight="1">
      <x:c r="A2" s="184"/>
      <x:c r="B2" s="184"/>
      <x:c r="C2" s="184"/>
      <x:c r="D2" s="184"/>
      <x:c r="E2" s="184"/>
      <x:c r="F2" s="184"/>
      <x:c r="G2" s="184"/>
      <x:c r="H2" s="184"/>
      <x:c r="I2" s="87"/>
      <x:c r="J2" s="87"/>
      <x:c r="K2" s="87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  <x:c r="J3" s="87"/>
      <x:c r="K3" s="87"/>
    </x:row>
    <x:row r="4" ht="24.4140625" hidden="0" customHeight="1">
      <x:c r="A4" s="67" t="str">
        <x:v>Plan</x:v>
      </x:c>
      <x:c r="B4" s="68" t="str">
        <x:v>Monthly price</x:v>
      </x:c>
      <x:c r="C4" s="68" t="str">
        <x:v>Included minutes</x:v>
      </x:c>
      <x:c r="D4" s="68" t="str">
        <x:v>Single-project max</x:v>
      </x:c>
      <x:c r="E4" s="68" t="str">
        <x:v>Payment/support allocation</x:v>
      </x:c>
      <x:c r="F4" s="68" t="str">
        <x:v>Cost per completed min</x:v>
      </x:c>
      <x:c r="G4" s="68" t="str">
        <x:v>Full included exposure cost</x:v>
      </x:c>
      <x:c r="H4" s="69" t="str">
        <x:v>Full-exposure gross margin</x:v>
      </x:c>
      <x:c r="I4" s="87"/>
      <x:c r="J4" s="87"/>
      <x:c r="K4" s="87"/>
    </x:row>
    <x:row r="5" ht="15" hidden="0" customHeight="1">
      <x:c r="A5" s="202" t="str">
        <x:v>Free</x:v>
      </x:c>
      <x:c r="B5" s="203" t="n">
        <x:v>0</x:v>
      </x:c>
      <x:c r="C5" s="204" t="n">
        <x:v>10</x:v>
      </x:c>
      <x:c r="D5" s="204" t="n">
        <x:v>2</x:v>
      </x:c>
      <x:c r="E5" s="203" t="n">
        <x:f>0</x:f>
        <x:v>0</x:v>
      </x:c>
      <x:c r="F5" s="203" t="n">
        <x:f>((Inputs!E18/1000000)*Inputs!B5)*Inputs!B6+Inputs!B7+Inputs!B8</x:f>
        <x:v>0.03737975</x:v>
      </x:c>
      <x:c r="G5" s="203" t="n">
        <x:f>C5*F5</x:f>
        <x:v>0.3737975</x:v>
      </x:c>
      <x:c r="H5" s="205" t="str">
        <x:f>IF(B5=0,"", (B5-G5-E5)/B5)</x:f>
      </x:c>
      <x:c r="I5" s="87"/>
      <x:c r="J5" s="87"/>
      <x:c r="K5" s="87"/>
    </x:row>
    <x:row r="6" ht="15" hidden="0" customHeight="1">
      <x:c r="A6" s="206" t="str">
        <x:v>Pro</x:v>
      </x:c>
      <x:c r="B6" s="207" t="n">
        <x:v>20</x:v>
      </x:c>
      <x:c r="C6" s="208" t="n">
        <x:v>90</x:v>
      </x:c>
      <x:c r="D6" s="208" t="n">
        <x:v>30</x:v>
      </x:c>
      <x:c r="E6" s="207" t="n">
        <x:f>Inputs!B11</x:f>
        <x:v>2</x:v>
      </x:c>
      <x:c r="F6" s="207" t="n">
        <x:f>((Inputs!E18/1000000)*Inputs!B5)*Inputs!B6+Inputs!B7+Inputs!B8</x:f>
        <x:v>0.03737975</x:v>
      </x:c>
      <x:c r="G6" s="207" t="n">
        <x:f>C6*F6</x:f>
        <x:v>3.3641775000000003</x:v>
      </x:c>
      <x:c r="H6" s="209" t="n">
        <x:f>(B6-G6-E6)/B6</x:f>
        <x:v>0.731791125</x:v>
      </x:c>
      <x:c r="I6" s="87"/>
      <x:c r="J6" s="87"/>
      <x:c r="K6" s="87"/>
    </x:row>
    <x:row r="7" ht="15" hidden="0" customHeight="1">
      <x:c r="A7" s="210" t="str">
        <x:v>Ultimate</x:v>
      </x:c>
      <x:c r="B7" s="211" t="n">
        <x:v>60</x:v>
      </x:c>
      <x:c r="C7" s="212" t="n">
        <x:v>300</x:v>
      </x:c>
      <x:c r="D7" s="212" t="n">
        <x:v>60</x:v>
      </x:c>
      <x:c r="E7" s="211" t="n">
        <x:f>Inputs!B12</x:f>
        <x:v>4</x:v>
      </x:c>
      <x:c r="F7" s="211" t="n">
        <x:f>((Inputs!E18/1000000)*Inputs!B5)*Inputs!B6+Inputs!B7+Inputs!B8</x:f>
        <x:v>0.03737975</x:v>
      </x:c>
      <x:c r="G7" s="211" t="n">
        <x:f>C7*F7</x:f>
        <x:v>11.213925000000001</x:v>
      </x:c>
      <x:c r="H7" s="213" t="n">
        <x:f>(B7-G7-E7)/B7</x:f>
        <x:v>0.7464345833333332</x:v>
      </x:c>
      <x:c r="I7" s="87"/>
      <x:c r="J7" s="87"/>
      <x:c r="K7" s="87"/>
    </x:row>
    <x:row r="8" ht="15" hidden="0" customHeight="1">
      <x:c r="A8" s="159"/>
      <x:c r="B8" s="159"/>
      <x:c r="C8" s="159"/>
      <x:c r="D8" s="159"/>
      <x:c r="E8" s="159"/>
      <x:c r="F8" s="159"/>
      <x:c r="G8" s="159"/>
      <x:c r="H8" s="159"/>
      <x:c r="I8" s="87"/>
      <x:c r="J8" s="87"/>
      <x:c r="K8" s="87"/>
    </x:row>
    <x:row r="9" ht="15" hidden="0" customHeight="1">
      <x:c r="A9" s="159"/>
      <x:c r="B9" s="159"/>
      <x:c r="C9" s="159"/>
      <x:c r="D9" s="159"/>
      <x:c r="E9" s="159"/>
      <x:c r="F9" s="159"/>
      <x:c r="G9" s="159"/>
      <x:c r="H9" s="159"/>
      <x:c r="I9" s="87"/>
      <x:c r="J9" s="87"/>
      <x:c r="K9" s="87"/>
    </x:row>
    <x:row r="10" ht="24.4140625" hidden="0" customHeight="1">
      <x:c r="A10" s="214" t="str">
        <x:v>Realized usage view</x:v>
      </x:c>
      <x:c r="B10" s="215"/>
      <x:c r="C10" s="215"/>
      <x:c r="D10" s="215"/>
      <x:c r="E10" s="215"/>
      <x:c r="F10" s="215"/>
      <x:c r="G10" s="215"/>
      <x:c r="H10" s="216"/>
      <x:c r="I10" s="87"/>
      <x:c r="J10" s="87"/>
      <x:c r="K10" s="87"/>
    </x:row>
    <x:row r="11" ht="15" hidden="0" customHeight="1">
      <x:c r="A11" s="67" t="str">
        <x:v>Plan</x:v>
      </x:c>
      <x:c r="B11" s="68" t="str">
        <x:v>p50 minutes</x:v>
      </x:c>
      <x:c r="C11" s="68" t="str">
        <x:v>p50 variable cost</x:v>
      </x:c>
      <x:c r="D11" s="68" t="str">
        <x:v>p50 gross margin</x:v>
      </x:c>
      <x:c r="E11" s="68" t="str">
        <x:v>p90 minutes</x:v>
      </x:c>
      <x:c r="F11" s="68" t="str">
        <x:v>p90 variable cost</x:v>
      </x:c>
      <x:c r="G11" s="68" t="str">
        <x:v>p90 gross margin</x:v>
      </x:c>
      <x:c r="H11" s="69" t="str">
        <x:v>Margin floor check</x:v>
      </x:c>
      <x:c r="I11" s="87"/>
      <x:c r="J11" s="87"/>
      <x:c r="K11" s="87"/>
    </x:row>
    <x:row r="12" ht="15" hidden="0" customHeight="1">
      <x:c r="A12" s="202" t="str">
        <x:v>Pro</x:v>
      </x:c>
      <x:c r="B12" s="203" t="n">
        <x:f>Inputs!B16</x:f>
        <x:v>45</x:v>
      </x:c>
      <x:c r="C12" s="203" t="n">
        <x:f>B12*$F$6</x:f>
        <x:v>1.6820887500000001</x:v>
      </x:c>
      <x:c r="D12" s="217" t="n">
        <x:f>(20-C12-$E$6)/20</x:f>
        <x:v>0.8158955625000001</x:v>
      </x:c>
      <x:c r="E12" s="217" t="n">
        <x:f>Inputs!B17</x:f>
        <x:v>81</x:v>
      </x:c>
      <x:c r="F12" s="217" t="n">
        <x:f>E12*$F$6</x:f>
        <x:v>3.0277597500000004</x:v>
      </x:c>
      <x:c r="G12" s="217" t="n">
        <x:f>(20-F12-$E$6)/20</x:f>
        <x:v>0.7486120125</x:v>
      </x:c>
      <x:c r="H12" s="164" t="str">
        <x:f>IF(G12&gt;=Inputs!B15,"PASS","REVIEW")</x:f>
        <x:v>PASS</x:v>
      </x:c>
      <x:c r="I12" s="87"/>
      <x:c r="J12" s="87"/>
      <x:c r="K12" s="87"/>
    </x:row>
    <x:row r="13" ht="15" hidden="0" customHeight="1">
      <x:c r="A13" s="210" t="str">
        <x:v>Ultimate</x:v>
      </x:c>
      <x:c r="B13" s="211" t="n">
        <x:f>120</x:f>
        <x:v>120</x:v>
      </x:c>
      <x:c r="C13" s="211" t="n">
        <x:f>B13*$F$7</x:f>
        <x:v>4.48557</x:v>
      </x:c>
      <x:c r="D13" s="218" t="n">
        <x:f>(60-C13-$E$7)/60</x:f>
        <x:v>0.8585738333333333</x:v>
      </x:c>
      <x:c r="E13" s="218" t="n">
        <x:f>Inputs!B18</x:f>
        <x:v>240</x:v>
      </x:c>
      <x:c r="F13" s="218" t="n">
        <x:f>E13*$F$7</x:f>
        <x:v>8.97114</x:v>
      </x:c>
      <x:c r="G13" s="218" t="n">
        <x:f>(60-F13-$E$7)/60</x:f>
        <x:v>0.7838143333333334</x:v>
      </x:c>
      <x:c r="H13" s="166" t="str">
        <x:f>IF(G13&gt;=Inputs!B15,"PASS","REVIEW")</x:f>
        <x:v>PASS</x:v>
      </x:c>
      <x:c r="I13" s="87"/>
      <x:c r="J13" s="87"/>
      <x:c r="K13" s="87"/>
    </x:row>
    <x:row r="14">
      <x:c r="A14" s="87"/>
      <x:c r="B14" s="87"/>
      <x:c r="C14" s="87"/>
      <x:c r="D14" s="87"/>
      <x:c r="E14" s="87"/>
      <x:c r="F14" s="87"/>
      <x:c r="G14" s="87"/>
      <x:c r="H14" s="87"/>
      <x:c r="I14" s="87"/>
      <x:c r="J14" s="87"/>
      <x:c r="K14" s="87"/>
    </x:row>
    <x:row r="15">
      <x:c r="A15" s="87"/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</x:row>
    <x:row r="16">
      <x:c r="A16" s="87"/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</x:row>
    <x:row r="17">
      <x:c r="A17" s="87"/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</x:row>
    <x:row r="18">
      <x:c r="A18" s="87"/>
      <x:c r="B18" s="87"/>
      <x:c r="C18" s="87"/>
      <x:c r="D18" s="87"/>
      <x:c r="E18" s="87"/>
      <x:c r="F18" s="87"/>
      <x:c r="G18" s="87"/>
      <x:c r="H18" s="87"/>
      <x:c r="I18" s="87"/>
      <x:c r="J18" s="87"/>
      <x:c r="K18" s="87"/>
    </x:row>
    <x:row r="19">
      <x:c r="A19" s="87"/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</x:row>
    <x:row r="20">
      <x:c r="A20" s="87"/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</x:row>
    <x:row r="21">
      <x:c r="A21" s="87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</x:row>
    <x:row r="22">
      <x:c r="A22" s="87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</x:row>
    <x:row r="23">
      <x:c r="A23" s="87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</x:row>
    <x:row r="24">
      <x:c r="A24" s="87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</x:row>
    <x:row r="25">
      <x:c r="A25" s="87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</x:row>
    <x:row r="26">
      <x:c r="A26" s="87"/>
      <x:c r="B26" s="87"/>
      <x:c r="C26" s="87"/>
      <x:c r="D26" s="87"/>
      <x:c r="E26" s="87"/>
      <x:c r="F26" s="87"/>
      <x:c r="G26" s="87"/>
      <x:c r="H26" s="87"/>
      <x:c r="I26" s="87"/>
      <x:c r="J26" s="87"/>
      <x:c r="K26" s="87"/>
    </x:row>
    <x:row r="27">
      <x:c r="A27" s="87"/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</x:row>
    <x:row r="28">
      <x:c r="A28" s="87"/>
      <x:c r="B28" s="87"/>
      <x:c r="C28" s="87"/>
      <x:c r="D28" s="87"/>
      <x:c r="E28" s="87"/>
      <x:c r="F28" s="87"/>
      <x:c r="G28" s="87"/>
      <x:c r="H28" s="87"/>
      <x:c r="I28" s="87"/>
      <x:c r="J28" s="87"/>
      <x:c r="K28" s="87"/>
    </x:row>
    <x:row r="29">
      <x:c r="A29" s="87"/>
      <x:c r="B29" s="87"/>
      <x:c r="C29" s="87"/>
      <x:c r="D29" s="87"/>
      <x:c r="E29" s="87"/>
      <x:c r="F29" s="87"/>
      <x:c r="G29" s="87"/>
      <x:c r="H29" s="87"/>
      <x:c r="I29" s="87"/>
      <x:c r="J29" s="87"/>
      <x:c r="K29" s="87"/>
    </x:row>
    <x:row r="30">
      <x:c r="A30" s="87"/>
      <x:c r="B30" s="87"/>
      <x:c r="C30" s="87"/>
      <x:c r="D30" s="87"/>
      <x:c r="E30" s="87"/>
      <x:c r="F30" s="87"/>
      <x:c r="G30" s="87"/>
      <x:c r="H30" s="87"/>
      <x:c r="I30" s="87"/>
      <x:c r="J30" s="87"/>
      <x:c r="K30" s="87"/>
    </x:row>
  </x:sheetData>
  <x:mergeCells>
    <x:mergeCell ref="A1:H2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6" max="6" width="24" hidden="0" customWidth="1"/>
    <x:col min="7" max="7" width="18" hidden="0" customWidth="1"/>
  </x:cols>
  <x:sheetData>
    <x:row r="1" ht="15" hidden="0" customHeight="1">
      <x:c r="A1" s="184" t="str">
        <x:v>Sensitivity: Pro full-exposure margin</x:v>
      </x:c>
      <x:c r="B1" s="184"/>
      <x:c r="C1" s="184"/>
      <x:c r="D1" s="184"/>
      <x:c r="E1" s="184"/>
      <x:c r="F1" s="184"/>
      <x:c r="G1" s="184"/>
      <x:c r="H1" s="87"/>
      <x:c r="I1" s="87"/>
      <x:c r="J1" s="87"/>
      <x:c r="K1" s="87"/>
    </x:row>
    <x:row r="2" ht="15" hidden="0" customHeight="1">
      <x:c r="A2" s="184"/>
      <x:c r="B2" s="184"/>
      <x:c r="C2" s="184"/>
      <x:c r="D2" s="184"/>
      <x:c r="E2" s="184"/>
      <x:c r="F2" s="184"/>
      <x:c r="G2" s="184"/>
      <x:c r="H2" s="87"/>
      <x:c r="I2" s="87"/>
      <x:c r="J2" s="87"/>
      <x:c r="K2" s="87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  <x:c r="J3" s="87"/>
      <x:c r="K3" s="87"/>
    </x:row>
    <x:row r="4" ht="15" hidden="0" customHeight="1">
      <x:c r="A4" s="178" t="str">
        <x:v>Chars per minute assumptions</x:v>
      </x:c>
      <x:c r="B4" s="180"/>
      <x:c r="C4" s="180"/>
      <x:c r="D4" s="179"/>
      <x:c r="E4" s="87"/>
      <x:c r="F4" s="178" t="str">
        <x:v>Quick read</x:v>
      </x:c>
      <x:c r="G4" s="179"/>
      <x:c r="H4" s="87"/>
      <x:c r="I4" s="87"/>
      <x:c r="J4" s="87"/>
      <x:c r="K4" s="87"/>
    </x:row>
    <x:row r="5" ht="24.4140625" hidden="0" customHeight="1">
      <x:c r="A5" s="67" t="str">
        <x:v>Retry factor \ Chars/min</x:v>
      </x:c>
      <x:c r="B5" s="68" t="n">
        <x:v>850</x:v>
      </x:c>
      <x:c r="C5" s="68" t="n">
        <x:v>900</x:v>
      </x:c>
      <x:c r="D5" s="69" t="n">
        <x:v>1000</x:v>
      </x:c>
      <x:c r="E5" s="87"/>
      <x:c r="F5" s="27" t="str">
        <x:v>Best-case modeled margin</x:v>
      </x:c>
      <x:c r="G5" s="100" t="n">
        <x:f>MAX(B6:D8)</x:f>
        <x:v>0.7678699765625</x:v>
      </x:c>
      <x:c r="H5" s="87"/>
      <x:c r="I5" s="87"/>
      <x:c r="J5" s="87"/>
      <x:c r="K5" s="87"/>
    </x:row>
    <x:row r="6" ht="15" hidden="0" customHeight="1">
      <x:c r="A6" s="146" t="n">
        <x:v>1.15</x:v>
      </x:c>
      <x:c r="B6" s="194" t="n">
        <x:f>(20-(90*((Inputs!E18/1000000)*B5)*$A6+Inputs!B7+Inputs!B8)-Inputs!B11)/20</x:f>
        <x:v>0.7678699765625</x:v>
      </x:c>
      <x:c r="C6" s="194" t="n">
        <x:f>(20-(90*((Inputs!E18/1000000)*C5)*$A6+Inputs!B7+Inputs!B8)-Inputs!B11)/20</x:f>
        <x:v>0.7601123281250001</x:v>
      </x:c>
      <x:c r="D6" s="195" t="n">
        <x:f>(20-(90*((Inputs!E18/1000000)*D5)*$A6+Inputs!B7+Inputs!B8)-Inputs!B11)/20</x:f>
        <x:v>0.74459703125</x:v>
      </x:c>
      <x:c r="E6" s="87"/>
      <x:c r="F6" s="29" t="str">
        <x:v>Working-center modeled margin</x:v>
      </x:c>
      <x:c r="G6" s="48" t="n">
        <x:f>C7</x:f>
        <x:v>0.747969921875</x:v>
      </x:c>
      <x:c r="H6" s="87"/>
      <x:c r="I6" s="87"/>
      <x:c r="J6" s="87"/>
      <x:c r="K6" s="87"/>
    </x:row>
    <x:row r="7" ht="15" hidden="0" customHeight="1">
      <x:c r="A7" s="148" t="n">
        <x:v>1.25</x:v>
      </x:c>
      <x:c r="B7" s="194" t="n">
        <x:f>(20-(90*((Inputs!E18/1000000)*B5)*$A7+Inputs!B7+Inputs!B8)-Inputs!B11)/20</x:f>
        <x:v>0.7564021484375001</x:v>
      </x:c>
      <x:c r="C7" s="194" t="n">
        <x:f>(20-(90*((Inputs!E18/1000000)*C5)*$A7+Inputs!B7+Inputs!B8)-Inputs!B11)/20</x:f>
        <x:v>0.747969921875</x:v>
      </x:c>
      <x:c r="D7" s="195" t="n">
        <x:f>(20-(90*((Inputs!E18/1000000)*D5)*$A7+Inputs!B7+Inputs!B8)-Inputs!B11)/20</x:f>
        <x:v>0.73110546875</x:v>
      </x:c>
      <x:c r="E7" s="87"/>
      <x:c r="F7" s="29" t="str">
        <x:v>Worst-case modeled margin</x:v>
      </x:c>
      <x:c r="G7" s="48" t="n">
        <x:f>MIN(B6:D8)</x:f>
        <x:v>0.7176139062499999</x:v>
      </x:c>
      <x:c r="H7" s="87"/>
      <x:c r="I7" s="87"/>
      <x:c r="J7" s="87"/>
      <x:c r="K7" s="87"/>
    </x:row>
    <x:row r="8" ht="15" hidden="0" customHeight="1">
      <x:c r="A8" s="149" t="n">
        <x:v>1.35</x:v>
      </x:c>
      <x:c r="B8" s="196" t="n">
        <x:f>(20-(90*((Inputs!E18/1000000)*B5)*$A8+Inputs!B7+Inputs!B8)-Inputs!B11)/20</x:f>
        <x:v>0.7449343203125001</x:v>
      </x:c>
      <x:c r="C8" s="196" t="n">
        <x:f>(20-(90*((Inputs!E18/1000000)*C5)*$A8+Inputs!B7+Inputs!B8)-Inputs!B11)/20</x:f>
        <x:v>0.735827515625</x:v>
      </x:c>
      <x:c r="D8" s="197" t="n">
        <x:f>(20-(90*((Inputs!E18/1000000)*D5)*$A8+Inputs!B7+Inputs!B8)-Inputs!B11)/20</x:f>
        <x:v>0.7176139062499999</x:v>
      </x:c>
      <x:c r="E8" s="87"/>
      <x:c r="F8" s="29" t="str">
        <x:v>Current floor</x:v>
      </x:c>
      <x:c r="G8" s="48" t="n">
        <x:f>Inputs!B15</x:f>
        <x:v>0.7</x:v>
      </x:c>
      <x:c r="H8" s="87"/>
      <x:c r="I8" s="87"/>
      <x:c r="J8" s="87"/>
      <x:c r="K8" s="87"/>
    </x:row>
    <x:row r="9" ht="15" hidden="0" customHeight="1">
      <x:c r="A9" s="87"/>
      <x:c r="B9" s="87"/>
      <x:c r="C9" s="87"/>
      <x:c r="D9" s="87"/>
      <x:c r="E9" s="87"/>
      <x:c r="F9" s="31" t="str">
        <x:v>Recommendation</x:v>
      </x:c>
      <x:c r="G9" s="32" t="str">
        <x:f>IF(G7&gt;=G8,"$20 Pro holds","review price or minutes")</x:f>
        <x:v>$20 Pro holds</x:v>
      </x:c>
      <x:c r="H9" s="87"/>
      <x:c r="I9" s="87"/>
      <x:c r="J9" s="87"/>
      <x:c r="K9" s="87"/>
    </x:row>
    <x:row r="10" ht="15" hidden="0" customHeight="1">
      <x:c r="A10" s="87"/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</x:row>
    <x:row r="11">
      <x:c r="A11" s="87"/>
      <x:c r="B11" s="87"/>
      <x:c r="C11" s="87"/>
      <x:c r="D11" s="87"/>
      <x:c r="E11" s="87"/>
      <x:c r="F11" s="87"/>
      <x:c r="G11" s="87"/>
      <x:c r="H11" s="87"/>
      <x:c r="I11" s="87"/>
      <x:c r="J11" s="87"/>
      <x:c r="K11" s="87"/>
    </x:row>
    <x:row r="12">
      <x:c r="A12" s="87"/>
      <x:c r="B12" s="87"/>
      <x:c r="C12" s="87"/>
      <x:c r="D12" s="87"/>
      <x:c r="E12" s="87"/>
      <x:c r="F12" s="87"/>
      <x:c r="G12" s="87"/>
      <x:c r="H12" s="87"/>
      <x:c r="I12" s="87"/>
      <x:c r="J12" s="87"/>
      <x:c r="K12" s="87"/>
    </x:row>
    <x:row r="13">
      <x:c r="A13" s="87"/>
      <x:c r="B13" s="87"/>
      <x:c r="C13" s="87"/>
      <x:c r="D13" s="87"/>
      <x:c r="E13" s="87"/>
      <x:c r="F13" s="87"/>
      <x:c r="G13" s="87"/>
      <x:c r="H13" s="87"/>
      <x:c r="I13" s="87"/>
      <x:c r="J13" s="87"/>
      <x:c r="K13" s="87"/>
    </x:row>
    <x:row r="14">
      <x:c r="A14" s="87"/>
      <x:c r="B14" s="87"/>
      <x:c r="C14" s="87"/>
      <x:c r="D14" s="87"/>
      <x:c r="E14" s="87"/>
      <x:c r="F14" s="87"/>
      <x:c r="G14" s="87"/>
      <x:c r="H14" s="87"/>
      <x:c r="I14" s="87"/>
      <x:c r="J14" s="87"/>
      <x:c r="K14" s="87"/>
    </x:row>
    <x:row r="15">
      <x:c r="A15" s="87"/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</x:row>
    <x:row r="16">
      <x:c r="A16" s="87"/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</x:row>
    <x:row r="17">
      <x:c r="A17" s="87"/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</x:row>
    <x:row r="18">
      <x:c r="A18" s="87"/>
      <x:c r="B18" s="87"/>
      <x:c r="C18" s="87"/>
      <x:c r="D18" s="87"/>
      <x:c r="E18" s="87"/>
      <x:c r="F18" s="87"/>
      <x:c r="G18" s="87"/>
      <x:c r="H18" s="87"/>
      <x:c r="I18" s="87"/>
      <x:c r="J18" s="87"/>
      <x:c r="K18" s="87"/>
    </x:row>
    <x:row r="19">
      <x:c r="A19" s="87"/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</x:row>
    <x:row r="20">
      <x:c r="A20" s="87"/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</x:row>
    <x:row r="21">
      <x:c r="A21" s="87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</x:row>
    <x:row r="22">
      <x:c r="A22" s="87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</x:row>
    <x:row r="23">
      <x:c r="A23" s="87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</x:row>
    <x:row r="24">
      <x:c r="A24" s="87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</x:row>
    <x:row r="25">
      <x:c r="A25" s="87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</x:row>
    <x:row r="26">
      <x:c r="A26" s="87"/>
      <x:c r="B26" s="87"/>
      <x:c r="C26" s="87"/>
      <x:c r="D26" s="87"/>
      <x:c r="E26" s="87"/>
      <x:c r="F26" s="87"/>
      <x:c r="G26" s="87"/>
      <x:c r="H26" s="87"/>
      <x:c r="I26" s="87"/>
      <x:c r="J26" s="87"/>
      <x:c r="K26" s="87"/>
    </x:row>
    <x:row r="27">
      <x:c r="A27" s="87"/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</x:row>
    <x:row r="28">
      <x:c r="A28" s="87"/>
      <x:c r="B28" s="87"/>
      <x:c r="C28" s="87"/>
      <x:c r="D28" s="87"/>
      <x:c r="E28" s="87"/>
      <x:c r="F28" s="87"/>
      <x:c r="G28" s="87"/>
      <x:c r="H28" s="87"/>
      <x:c r="I28" s="87"/>
      <x:c r="J28" s="87"/>
      <x:c r="K28" s="87"/>
    </x:row>
    <x:row r="29">
      <x:c r="A29" s="87"/>
      <x:c r="B29" s="87"/>
      <x:c r="C29" s="87"/>
      <x:c r="D29" s="87"/>
      <x:c r="E29" s="87"/>
      <x:c r="F29" s="87"/>
      <x:c r="G29" s="87"/>
      <x:c r="H29" s="87"/>
      <x:c r="I29" s="87"/>
      <x:c r="J29" s="87"/>
      <x:c r="K29" s="87"/>
    </x:row>
    <x:row r="30">
      <x:c r="A30" s="87"/>
      <x:c r="B30" s="87"/>
      <x:c r="C30" s="87"/>
      <x:c r="D30" s="87"/>
      <x:c r="E30" s="87"/>
      <x:c r="F30" s="87"/>
      <x:c r="G30" s="87"/>
      <x:c r="H30" s="87"/>
      <x:c r="I30" s="87"/>
      <x:c r="J30" s="87"/>
      <x:c r="K30" s="87"/>
    </x:row>
  </x:sheetData>
  <x:mergeCells>
    <x:mergeCell ref="A1:G2"/>
    <x:mergeCell ref="A4:D4"/>
    <x:mergeCell ref="F4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38" hidden="0" customWidth="1"/>
  </x:cols>
  <x:sheetData>
    <x:row r="1" ht="15" hidden="0" customHeight="1">
      <x:c r="A1" s="184" t="str">
        <x:v>Official source links for the working model</x:v>
      </x:c>
      <x:c r="B1" s="184"/>
      <x:c r="C1" s="184"/>
      <x:c r="D1" s="184"/>
      <x:c r="E1" s="184"/>
      <x:c r="F1" s="87"/>
      <x:c r="G1" s="87"/>
      <x:c r="H1" s="87"/>
      <x:c r="I1" s="87"/>
      <x:c r="J1" s="87"/>
      <x:c r="K1" s="87"/>
    </x:row>
    <x:row r="2" ht="15" hidden="0" customHeight="1">
      <x:c r="A2" s="184"/>
      <x:c r="B2" s="184"/>
      <x:c r="C2" s="184"/>
      <x:c r="D2" s="184"/>
      <x:c r="E2" s="184"/>
      <x:c r="F2" s="87"/>
      <x:c r="G2" s="87"/>
      <x:c r="H2" s="87"/>
      <x:c r="I2" s="87"/>
      <x:c r="J2" s="87"/>
      <x:c r="K2" s="87"/>
    </x:row>
    <x:row r="3" ht="15" hidden="0" customHeight="1">
      <x:c r="A3" s="87"/>
      <x:c r="B3" s="87"/>
      <x:c r="C3" s="87"/>
      <x:c r="D3" s="87"/>
      <x:c r="E3" s="87"/>
      <x:c r="F3" s="87"/>
      <x:c r="G3" s="87"/>
      <x:c r="H3" s="87"/>
      <x:c r="I3" s="87"/>
      <x:c r="J3" s="87"/>
      <x:c r="K3" s="87"/>
    </x:row>
    <x:row r="4" ht="15" hidden="0" customHeight="1">
      <x:c r="A4" s="67" t="str">
        <x:v>Source</x:v>
      </x:c>
      <x:c r="B4" s="68" t="str">
        <x:v>URL</x:v>
      </x:c>
      <x:c r="C4" s="68" t="str">
        <x:v>Used for</x:v>
      </x:c>
      <x:c r="D4" s="69" t="str">
        <x:v>Notes</x:v>
      </x:c>
      <x:c r="E4" s="87"/>
      <x:c r="F4" s="87"/>
      <x:c r="G4" s="87"/>
      <x:c r="H4" s="87"/>
      <x:c r="I4" s="87"/>
      <x:c r="J4" s="87"/>
      <x:c r="K4" s="87"/>
    </x:row>
    <x:row r="5" ht="15" hidden="0" customHeight="1">
      <x:c r="A5" s="202" t="str">
        <x:v>Raphael AI homepage</x:v>
      </x:c>
      <x:c r="B5" s="158" t="str">
        <x:v>https://raphael.app/</x:v>
      </x:c>
      <x:c r="C5" s="158" t="str">
        <x:v>Distribution reference</x:v>
      </x:c>
      <x:c r="D5" s="164" t="str">
        <x:v>Free unlimited image generator positioning</x:v>
      </x:c>
      <x:c r="E5" s="87"/>
      <x:c r="F5" s="87"/>
      <x:c r="G5" s="87"/>
      <x:c r="H5" s="87"/>
      <x:c r="I5" s="87"/>
      <x:c r="J5" s="87"/>
      <x:c r="K5" s="87"/>
    </x:row>
    <x:row r="6" ht="24.4140625" hidden="0" customHeight="1">
      <x:c r="A6" s="206" t="str">
        <x:v>Raphael AI pricing</x:v>
      </x:c>
      <x:c r="B6" s="159" t="str">
        <x:v>https://raphael.app/pricing</x:v>
      </x:c>
      <x:c r="C6" s="159" t="str">
        <x:v>Packaging reference</x:v>
      </x:c>
      <x:c r="D6" s="165" t="str">
        <x:v>Premium / Ultimate credits, queue, privacy, pricing page currently obscures dollar amounts</x:v>
      </x:c>
      <x:c r="E6" s="87"/>
      <x:c r="F6" s="87"/>
      <x:c r="G6" s="87"/>
      <x:c r="H6" s="87"/>
      <x:c r="I6" s="87"/>
      <x:c r="J6" s="87"/>
      <x:c r="K6" s="87"/>
    </x:row>
    <x:row r="7" ht="15" hidden="0" customHeight="1">
      <x:c r="A7" s="206" t="str">
        <x:v>Inworld TTS pricing</x:v>
      </x:c>
      <x:c r="B7" s="159" t="str">
        <x:v>https://inworld.ai/tts</x:v>
      </x:c>
      <x:c r="C7" s="159" t="str">
        <x:v>Primary TTS cost anchor</x:v>
      </x:c>
      <x:c r="D7" s="165" t="str">
        <x:v>TTS-1.5 Max and Mini posted per 1M characters</x:v>
      </x:c>
      <x:c r="E7" s="87"/>
      <x:c r="F7" s="87"/>
      <x:c r="G7" s="87"/>
      <x:c r="H7" s="87"/>
      <x:c r="I7" s="87"/>
      <x:c r="J7" s="87"/>
      <x:c r="K7" s="87"/>
    </x:row>
    <x:row r="8" ht="24.4140625" hidden="0" customHeight="1">
      <x:c r="A8" s="206" t="str">
        <x:v>Inworld pricing overview</x:v>
      </x:c>
      <x:c r="B8" s="159" t="str">
        <x:v>https://inworld.ai/pricing</x:v>
      </x:c>
      <x:c r="C8" s="159" t="str">
        <x:v>Plan tiers / concurrency context</x:v>
      </x:c>
      <x:c r="D8" s="165" t="str">
        <x:v>Creator / Developer / Growth tiers</x:v>
      </x:c>
      <x:c r="E8" s="87"/>
      <x:c r="F8" s="87"/>
      <x:c r="G8" s="87"/>
      <x:c r="H8" s="87"/>
      <x:c r="I8" s="87"/>
      <x:c r="J8" s="87"/>
      <x:c r="K8" s="87"/>
    </x:row>
    <x:row r="9" ht="24.4140625" hidden="0" customHeight="1">
      <x:c r="A9" s="206" t="str">
        <x:v>Inworld synthesize speech docs</x:v>
      </x:c>
      <x:c r="B9" s="159" t="str">
        <x:v>https://docs.inworld.ai/api-reference/ttsAPI/texttospeech/synthesize-speech</x:v>
      </x:c>
      <x:c r="C9" s="159" t="str">
        <x:v>Request-size and timestamp constraints</x:v>
      </x:c>
      <x:c r="D9" s="165" t="str">
        <x:v>2,000 char request limit, 16MB response guidance, alignment info</x:v>
      </x:c>
      <x:c r="E9" s="87"/>
      <x:c r="F9" s="87"/>
      <x:c r="G9" s="87"/>
      <x:c r="H9" s="87"/>
      <x:c r="I9" s="87"/>
      <x:c r="J9" s="87"/>
      <x:c r="K9" s="87"/>
    </x:row>
    <x:row r="10" ht="24.4140625" hidden="0" customHeight="1">
      <x:c r="A10" s="206" t="str">
        <x:v>Cartesia pricing</x:v>
      </x:c>
      <x:c r="B10" s="159" t="str">
        <x:v>https://cartesia.ai/pricing</x:v>
      </x:c>
      <x:c r="C10" s="159" t="str">
        <x:v>Fallback TTS / STT economics</x:v>
      </x:c>
      <x:c r="D10" s="165" t="str">
        <x:v>Credits and per-character / per-second usage model</x:v>
      </x:c>
      <x:c r="E10" s="87"/>
      <x:c r="F10" s="87"/>
      <x:c r="G10" s="87"/>
      <x:c r="H10" s="87"/>
      <x:c r="I10" s="87"/>
      <x:c r="J10" s="87"/>
      <x:c r="K10" s="87"/>
    </x:row>
    <x:row r="11" ht="15" hidden="0" customHeight="1">
      <x:c r="A11" s="206" t="str">
        <x:v>ElevenLabs pricing</x:v>
      </x:c>
      <x:c r="B11" s="159" t="str">
        <x:v>https://elevenlabs.io/pricing</x:v>
      </x:c>
      <x:c r="C11" s="159" t="str">
        <x:v>Market benchmark</x:v>
      </x:c>
      <x:c r="D11" s="165" t="str">
        <x:v>Creator / Pro included UI minutes</x:v>
      </x:c>
      <x:c r="E11" s="87"/>
      <x:c r="F11" s="87"/>
      <x:c r="G11" s="87"/>
      <x:c r="H11" s="87"/>
      <x:c r="I11" s="87"/>
      <x:c r="J11" s="87"/>
      <x:c r="K11" s="87"/>
    </x:row>
    <x:row r="12" ht="24.4140625" hidden="0" customHeight="1">
      <x:c r="A12" s="206" t="str">
        <x:v>ElevenLabs API pricing</x:v>
      </x:c>
      <x:c r="B12" s="159" t="str">
        <x:v>https://elevenlabs.io/pricing/api</x:v>
      </x:c>
      <x:c r="C12" s="159" t="str">
        <x:v>Market benchmark</x:v>
      </x:c>
      <x:c r="D12" s="165" t="str">
        <x:v>Flash/Turbo and Multilingual per-1K character pricing</x:v>
      </x:c>
      <x:c r="E12" s="87"/>
      <x:c r="F12" s="87"/>
      <x:c r="G12" s="87"/>
      <x:c r="H12" s="87"/>
      <x:c r="I12" s="87"/>
      <x:c r="J12" s="87"/>
      <x:c r="K12" s="87"/>
    </x:row>
    <x:row r="13" ht="15" hidden="0" customHeight="1">
      <x:c r="A13" s="206" t="str">
        <x:v>Google STT pricing</x:v>
      </x:c>
      <x:c r="B13" s="159" t="str">
        <x:v>https://cloud.google.com/speech-to-text/pricing</x:v>
      </x:c>
      <x:c r="C13" s="159" t="str">
        <x:v>Alignment baseline cost</x:v>
      </x:c>
      <x:c r="D13" s="165" t="str">
        <x:v>Standard and dynamic batch rates</x:v>
      </x:c>
      <x:c r="E13" s="87"/>
      <x:c r="F13" s="87"/>
      <x:c r="G13" s="87"/>
      <x:c r="H13" s="87"/>
      <x:c r="I13" s="87"/>
      <x:c r="J13" s="87"/>
      <x:c r="K13" s="87"/>
    </x:row>
    <x:row r="14" ht="15" hidden="0" customHeight="1">
      <x:c r="A14" s="206" t="str">
        <x:v>Speechify API pricing</x:v>
      </x:c>
      <x:c r="B14" s="159" t="str">
        <x:v>https://speechify.com/pricing-api/</x:v>
      </x:c>
      <x:c r="C14" s="159" t="str">
        <x:v>Low-cost API benchmark</x:v>
      </x:c>
      <x:c r="D14" s="165" t="str">
        <x:v>$10 / 1M characters</x:v>
      </x:c>
      <x:c r="E14" s="87"/>
      <x:c r="F14" s="87"/>
      <x:c r="G14" s="87"/>
      <x:c r="H14" s="87"/>
      <x:c r="I14" s="87"/>
      <x:c r="J14" s="87"/>
      <x:c r="K14" s="87"/>
    </x:row>
    <x:row r="15" ht="15" hidden="0" customHeight="1">
      <x:c r="A15" s="210" t="str">
        <x:v>Murf Falcon page</x:v>
      </x:c>
      <x:c r="B15" s="160" t="str">
        <x:v>https://murf.ai/text-to-speech</x:v>
      </x:c>
      <x:c r="C15" s="160" t="str">
        <x:v>Low-cost API benchmark</x:v>
      </x:c>
      <x:c r="D15" s="166" t="str">
        <x:v>$0.01 / minute quote on page</x:v>
      </x:c>
      <x:c r="E15" s="87"/>
      <x:c r="F15" s="87"/>
      <x:c r="G15" s="87"/>
      <x:c r="H15" s="87"/>
      <x:c r="I15" s="87"/>
      <x:c r="J15" s="87"/>
      <x:c r="K15" s="87"/>
    </x:row>
    <x:row r="16">
      <x:c r="A16" s="87"/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</x:row>
    <x:row r="17">
      <x:c r="A17" s="87"/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</x:row>
    <x:row r="18">
      <x:c r="A18" s="87"/>
      <x:c r="B18" s="87"/>
      <x:c r="C18" s="87"/>
      <x:c r="D18" s="87"/>
      <x:c r="E18" s="87"/>
      <x:c r="F18" s="87"/>
      <x:c r="G18" s="87"/>
      <x:c r="H18" s="87"/>
      <x:c r="I18" s="87"/>
      <x:c r="J18" s="87"/>
      <x:c r="K18" s="87"/>
    </x:row>
    <x:row r="19">
      <x:c r="A19" s="87"/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</x:row>
    <x:row r="20">
      <x:c r="A20" s="87"/>
      <x:c r="B20" s="87"/>
      <x:c r="C20" s="87"/>
      <x:c r="D20" s="87"/>
      <x:c r="E20" s="87"/>
      <x:c r="F20" s="87"/>
      <x:c r="G20" s="87"/>
      <x:c r="H20" s="87"/>
      <x:c r="I20" s="87"/>
      <x:c r="J20" s="87"/>
      <x:c r="K20" s="87"/>
    </x:row>
    <x:row r="21">
      <x:c r="A21" s="87"/>
      <x:c r="B21" s="87"/>
      <x:c r="C21" s="87"/>
      <x:c r="D21" s="87"/>
      <x:c r="E21" s="87"/>
      <x:c r="F21" s="87"/>
      <x:c r="G21" s="87"/>
      <x:c r="H21" s="87"/>
      <x:c r="I21" s="87"/>
      <x:c r="J21" s="87"/>
      <x:c r="K21" s="87"/>
    </x:row>
    <x:row r="22">
      <x:c r="A22" s="87"/>
      <x:c r="B22" s="87"/>
      <x:c r="C22" s="87"/>
      <x:c r="D22" s="87"/>
      <x:c r="E22" s="87"/>
      <x:c r="F22" s="87"/>
      <x:c r="G22" s="87"/>
      <x:c r="H22" s="87"/>
      <x:c r="I22" s="87"/>
      <x:c r="J22" s="87"/>
      <x:c r="K22" s="87"/>
    </x:row>
    <x:row r="23">
      <x:c r="A23" s="87"/>
      <x:c r="B23" s="87"/>
      <x:c r="C23" s="87"/>
      <x:c r="D23" s="87"/>
      <x:c r="E23" s="87"/>
      <x:c r="F23" s="87"/>
      <x:c r="G23" s="87"/>
      <x:c r="H23" s="87"/>
      <x:c r="I23" s="87"/>
      <x:c r="J23" s="87"/>
      <x:c r="K23" s="87"/>
    </x:row>
    <x:row r="24">
      <x:c r="A24" s="87"/>
      <x:c r="B24" s="87"/>
      <x:c r="C24" s="87"/>
      <x:c r="D24" s="87"/>
      <x:c r="E24" s="87"/>
      <x:c r="F24" s="87"/>
      <x:c r="G24" s="87"/>
      <x:c r="H24" s="87"/>
      <x:c r="I24" s="87"/>
      <x:c r="J24" s="87"/>
      <x:c r="K24" s="87"/>
    </x:row>
    <x:row r="25">
      <x:c r="A25" s="87"/>
      <x:c r="B25" s="87"/>
      <x:c r="C25" s="87"/>
      <x:c r="D25" s="87"/>
      <x:c r="E25" s="87"/>
      <x:c r="F25" s="87"/>
      <x:c r="G25" s="87"/>
      <x:c r="H25" s="87"/>
      <x:c r="I25" s="87"/>
      <x:c r="J25" s="87"/>
      <x:c r="K25" s="87"/>
    </x:row>
    <x:row r="26">
      <x:c r="A26" s="87"/>
      <x:c r="B26" s="87"/>
      <x:c r="C26" s="87"/>
      <x:c r="D26" s="87"/>
      <x:c r="E26" s="87"/>
      <x:c r="F26" s="87"/>
      <x:c r="G26" s="87"/>
      <x:c r="H26" s="87"/>
      <x:c r="I26" s="87"/>
      <x:c r="J26" s="87"/>
      <x:c r="K26" s="87"/>
    </x:row>
    <x:row r="27">
      <x:c r="A27" s="87"/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</x:row>
    <x:row r="28">
      <x:c r="A28" s="87"/>
      <x:c r="B28" s="87"/>
      <x:c r="C28" s="87"/>
      <x:c r="D28" s="87"/>
      <x:c r="E28" s="87"/>
      <x:c r="F28" s="87"/>
      <x:c r="G28" s="87"/>
      <x:c r="H28" s="87"/>
      <x:c r="I28" s="87"/>
      <x:c r="J28" s="87"/>
      <x:c r="K28" s="87"/>
    </x:row>
    <x:row r="29">
      <x:c r="A29" s="87"/>
      <x:c r="B29" s="87"/>
      <x:c r="C29" s="87"/>
      <x:c r="D29" s="87"/>
      <x:c r="E29" s="87"/>
      <x:c r="F29" s="87"/>
      <x:c r="G29" s="87"/>
      <x:c r="H29" s="87"/>
      <x:c r="I29" s="87"/>
      <x:c r="J29" s="87"/>
      <x:c r="K29" s="87"/>
    </x:row>
    <x:row r="30">
      <x:c r="A30" s="87"/>
      <x:c r="B30" s="87"/>
      <x:c r="C30" s="87"/>
      <x:c r="D30" s="87"/>
      <x:c r="E30" s="87"/>
      <x:c r="F30" s="87"/>
      <x:c r="G30" s="87"/>
      <x:c r="H30" s="87"/>
      <x:c r="I30" s="87"/>
      <x:c r="J30" s="87"/>
      <x:c r="K30" s="87"/>
    </x:row>
  </x:sheetData>
  <x:mergeCells>
    <x:mergeCell ref="A1:E2"/>
  </x:mergeCells>
  <x:pageMargins left="0.7" right="0.7" top="0.75" bottom="0.75" header="0.3" footer="0.3"/>
</x:worksheet>
</file>