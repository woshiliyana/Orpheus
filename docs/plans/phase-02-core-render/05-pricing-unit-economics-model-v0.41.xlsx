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ecadc118c4a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9d6218108f84420"/>
    <x:sheet xmlns:r="http://schemas.openxmlformats.org/officeDocument/2006/relationships" name="Assumptions" sheetId="2" r:id="Re3dcef002e914eee"/>
    <x:sheet xmlns:r="http://schemas.openxmlformats.org/officeDocument/2006/relationships" name="Provider_Scenarios" sheetId="3" r:id="Racbcd4715d5b47c8"/>
    <x:sheet xmlns:r="http://schemas.openxmlformats.org/officeDocument/2006/relationships" name="Market_Benchmark" sheetId="4" r:id="R110d108a603142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&quot;$&quot;#,##0.00"/>
    <x:numFmt numFmtId="201" formatCode="0"/>
    <x:numFmt numFmtId="202" formatCode="0%"/>
    <x:numFmt numFmtId="203" formatCode="0.00"/>
    <x:numFmt numFmtId="204" formatCode="&quot;$&quot;#,##0.0000"/>
    <x:numFmt numFmtId="205" formatCode="#,##0"/>
    <x:numFmt numFmtId="206" formatCode="&quot;$&quot;#,##0.000"/>
    <x:numFmt numFmtId="207" formatCode="0.0%"/>
  </x:numFmts>
  <x:fonts count="4">
    <x:font>
      <x:sz val="11"/>
      <x:name val="Carlito"/>
    </x:font>
    <x:font>
      <x:b/>
      <x:sz val="16"/>
      <x:color theme="0"/>
      <x:name val="Carlito"/>
    </x:font>
    <x:font>
      <x:b/>
      <x:sz val="11"/>
      <x:name val="Carlito"/>
    </x:font>
    <x:font>
      <x:b/>
      <x:sz val="11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6" tint="0.55"/>
      </x:patternFill>
    </x:fill>
  </x:fills>
  <x:borders count="21">
    <x:border/>
    <x:border/>
    <x:border>
      <x:left>
        <x:color theme="6"/>
      </x:left>
      <x:top>
        <x:color theme="6"/>
      </x:top>
    </x:border>
    <x:border>
      <x:right>
        <x:color theme="6"/>
      </x:right>
      <x:top>
        <x:color theme="6"/>
      </x:top>
    </x:border>
    <x:border>
      <x:left>
        <x:color theme="6"/>
      </x:left>
    </x:border>
    <x:border>
      <x:right>
        <x:color theme="6"/>
      </x:right>
    </x:border>
    <x:border>
      <x:left>
        <x:color theme="6"/>
      </x:left>
      <x:bottom>
        <x:color theme="6"/>
      </x:bottom>
    </x:border>
    <x:border>
      <x:right>
        <x:color theme="6"/>
      </x:right>
      <x:bottom>
        <x:color theme="6"/>
      </x:bottom>
    </x:border>
    <x:border>
      <x:left>
        <x:color theme="6"/>
      </x:left>
      <x:top>
        <x:color theme="6"/>
      </x:top>
    </x:border>
    <x:border>
      <x:right>
        <x:color theme="6"/>
      </x:right>
      <x:top>
        <x:color theme="6"/>
      </x:top>
    </x:border>
    <x:border>
      <x:left>
        <x:color theme="6"/>
      </x:left>
    </x:border>
    <x:border>
      <x:right>
        <x:color theme="6"/>
      </x:right>
    </x:border>
    <x:border>
      <x:left>
        <x:color theme="6"/>
      </x:left>
      <x:bottom>
        <x:color theme="6"/>
      </x:bottom>
    </x:border>
    <x:border>
      <x:right>
        <x:color theme="6"/>
      </x:right>
      <x:bottom>
        <x:color theme="6"/>
      </x:bottom>
    </x:border>
    <x:border>
      <x:top>
        <x:color theme="6"/>
      </x:top>
    </x:border>
    <x:border>
      <x:bottom>
        <x:color theme="6"/>
      </x:bottom>
    </x:border>
    <x:border>
      <x:top>
        <x:color theme="6"/>
      </x:top>
    </x:border>
    <x:border>
      <x:bottom>
        <x:color theme="6"/>
      </x:bottom>
    </x:border>
    <x:border>
      <x:left>
        <x:color theme="6"/>
      </x:left>
      <x:top>
        <x:color theme="6"/>
      </x:top>
      <x:bottom>
        <x:color theme="6"/>
      </x:bottom>
    </x:border>
    <x:border>
      <x:top>
        <x:color theme="6"/>
      </x:top>
      <x:bottom>
        <x:color theme="6"/>
      </x:bottom>
    </x:border>
    <x:border>
      <x:right>
        <x:color theme="6"/>
      </x:right>
      <x:top>
        <x:color theme="6"/>
      </x:top>
      <x:bottom>
        <x:color theme="6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14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0" fillId="0" borderId="15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204" fontId="0" fillId="0" borderId="17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5" fontId="0" fillId="0" borderId="15" xfId="0" applyNumberFormat="1" applyFont="1" applyFill="1" applyBorder="1" applyAlignment="1">
      <x:alignment wrapText="1"/>
    </x:xf>
    <x:xf numFmtId="205" fontId="0" fillId="0" borderId="1" xfId="0" applyNumberFormat="1" applyFont="1" applyFill="1" applyBorder="1" applyAlignment="1">
      <x:alignment wrapText="1"/>
    </x:xf>
    <x:xf numFmtId="205" fontId="0" fillId="0" borderId="17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6" fontId="0" fillId="0" borderId="15" xfId="0" applyNumberFormat="1" applyFont="1" applyFill="1" applyBorder="1" applyAlignment="1">
      <x:alignment wrapText="1"/>
    </x:xf>
    <x:xf numFmtId="206" fontId="0" fillId="0" borderId="1" xfId="0" applyNumberFormat="1" applyFont="1" applyFill="1" applyBorder="1" applyAlignment="1">
      <x:alignment wrapText="1"/>
    </x:xf>
    <x:xf numFmtId="206" fontId="0" fillId="0" borderId="17" xfId="0" applyNumberFormat="1" applyFont="1" applyFill="1" applyBorder="1" applyAlignment="1">
      <x:alignment wrapText="1"/>
    </x:xf>
    <x:xf numFmtId="204" fontId="1" fillId="2" borderId="0" xfId="0" applyNumberFormat="1" applyFont="1" applyFill="1" applyBorder="1"/>
    <x:xf numFmtId="204" fontId="1" fillId="2" borderId="1" xfId="0" applyNumberFormat="1" applyFont="1" applyFill="1" applyBorder="1"/>
    <x:xf numFmtId="207" fontId="0" fillId="0" borderId="0" xfId="0" applyNumberFormat="1" applyFont="1" applyFill="1" applyBorder="1" applyAlignment="1">
      <x:alignment wrapText="1"/>
    </x:xf>
    <x:xf numFmtId="207" fontId="0" fillId="0" borderId="15" xfId="0" applyNumberFormat="1" applyFont="1" applyFill="1" applyBorder="1" applyAlignment="1">
      <x:alignment wrapText="1"/>
    </x:xf>
    <x:xf numFmtId="207" fontId="0" fillId="0" borderId="1" xfId="0" applyNumberFormat="1" applyFont="1" applyFill="1" applyBorder="1" applyAlignment="1">
      <x:alignment wrapText="1"/>
    </x:xf>
    <x:xf numFmtId="207" fontId="0" fillId="0" borderId="17" xfId="0" applyNumberFormat="1" applyFont="1" applyFill="1" applyBorder="1" applyAlignment="1">
      <x:alignment wrapText="1"/>
    </x:xf>
    <x:xf numFmtId="202" fontId="0" fillId="0" borderId="5" xfId="0" applyNumberFormat="1" applyFont="1" applyFill="1" applyBorder="1" applyAlignment="1">
      <x:alignment wrapText="1"/>
    </x:xf>
    <x:xf numFmtId="202" fontId="0" fillId="0" borderId="11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0" fontId="0" fillId="0" borderId="11" xfId="0" applyNumberFormat="1" applyFont="1" applyFill="1" applyBorder="1" applyAlignment="1">
      <x:alignment wrapText="1"/>
    </x:xf>
    <x:xf numFmtId="207" fontId="0" fillId="0" borderId="5" xfId="0" applyNumberFormat="1" applyFont="1" applyFill="1" applyBorder="1" applyAlignment="1">
      <x:alignment wrapText="1"/>
    </x:xf>
    <x:xf numFmtId="207" fontId="0" fillId="0" borderId="1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9c8e7b7f384c83" /><Relationship Type="http://schemas.openxmlformats.org/officeDocument/2006/relationships/theme" Target="/xl/theme/theme1.xml" Id="Racdbff917e1a4601" /><Relationship Type="http://schemas.openxmlformats.org/officeDocument/2006/relationships/sharedStrings" Target="/xl/sharedStrings.xml" Id="Ra516f33128d54f8b" /><Relationship Type="http://schemas.openxmlformats.org/officeDocument/2006/relationships/worksheet" Target="/xl/worksheets/sheet1.xml" Id="R59d6218108f84420" /><Relationship Type="http://schemas.openxmlformats.org/officeDocument/2006/relationships/worksheet" Target="/xl/worksheets/sheet2.xml" Id="Re3dcef002e914eee" /><Relationship Type="http://schemas.openxmlformats.org/officeDocument/2006/relationships/worksheet" Target="/xl/worksheets/sheet3.xml" Id="Racbcd4715d5b47c8" /><Relationship Type="http://schemas.openxmlformats.org/officeDocument/2006/relationships/worksheet" Target="/xl/worksheets/sheet4.xml" Id="R110d108a603142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</x:cols>
  <x:sheetData>
    <x:row r="1">
      <x:c r="A1" s="4" t="str">
        <x:v>Orpheus v0.41 Increment Summary</x:v>
      </x:c>
      <x:c r="B1" s="4"/>
      <x:c r="C1" s="4"/>
      <x:c r="D1" s="4"/>
    </x:row>
    <x:row r="3" ht="22" customHeight="1">
      <x:c r="A3" s="12" t="str">
        <x:v>Working Pro package</x:v>
      </x:c>
      <x:c r="B3" s="13" t="str">
        <x:v>$20 / 90 min</x:v>
      </x:c>
    </x:row>
    <x:row r="4" ht="22" customHeight="1">
      <x:c r="A4" s="14" t="str">
        <x:v>Target gross margin floor</x:v>
      </x:c>
      <x:c r="B4" s="68" t="n">
        <x:f>Assumptions!B6</x:f>
        <x:v>0.7</x:v>
      </x:c>
    </x:row>
    <x:row r="5" ht="22" customHeight="1">
      <x:c r="A5" s="14" t="str">
        <x:v>Max allowed TTS rate / 1M chars</x:v>
      </x:c>
      <x:c r="B5" s="70" t="n">
        <x:f>Assumptions!B16</x:f>
        <x:v>30.917874396135264</x:v>
      </x:c>
    </x:row>
    <x:row r="6" ht="22" customHeight="1">
      <x:c r="A6" s="14" t="str">
        <x:v>Inworld growth-equivalent GM</x:v>
      </x:c>
      <x:c r="B6" s="72" t="n">
        <x:f>Provider_Scenarios!I5</x:f>
        <x:v>0.704275</x:v>
      </x:c>
    </x:row>
    <x:row r="7" ht="22" customHeight="1">
      <x:c r="A7" s="14" t="str">
        <x:v>Inworld developer-equivalent GM</x:v>
      </x:c>
      <x:c r="B7" s="72" t="n">
        <x:f>Provider_Scenarios!I6</x:f>
        <x:v>0.6577</x:v>
      </x:c>
    </x:row>
    <x:row r="8" ht="22" customHeight="1">
      <x:c r="A8" s="14" t="str">
        <x:v>Cartesia scale-equivalent GM</x:v>
      </x:c>
      <x:c r="B8" s="72" t="n">
        <x:f>Provider_Scenarios!I8</x:f>
        <x:v>0.7048571874999999</x:v>
      </x:c>
    </x:row>
    <x:row r="9" ht="22" customHeight="1">
      <x:c r="A9" s="14" t="str">
        <x:v>Cartesia startup-equivalent GM</x:v>
      </x:c>
      <x:c r="B9" s="72" t="n">
        <x:f>Provider_Scenarios!I9</x:f>
        <x:v>0.698686</x:v>
      </x:c>
    </x:row>
    <x:row r="10" ht="22" customHeight="1">
      <x:c r="A10" s="16" t="str">
        <x:v>Recommended build path</x:v>
      </x:c>
      <x:c r="B10" s="17" t="str">
        <x:v>Inworld first + Cartesia benchmark</x:v>
      </x:c>
    </x:row>
    <x:row r="12" ht="48" customHeight="1">
      <x:c r="A12" s="78" t="str">
        <x:v>Working reading: Pro $20 / 90 min is only safe when the invoice-equivalent TTS rate stays near or below the current guardrail. Use Inworld first, but benchmark Cartesia immediately and keep ElevenLabs as the public market reference.</x:v>
      </x:c>
      <x:c r="B12" s="79"/>
      <x:c r="C12" s="79"/>
      <x:c r="D12" s="80"/>
    </x:row>
  </x:sheetData>
  <x:mergeCells>
    <x:mergeCell ref="A1:D1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44" hidden="0" customWidth="1"/>
    <x:col min="4" max="4" width="42" hidden="0" customWidth="1"/>
  </x:cols>
  <x:sheetData>
    <x:row r="1">
      <x:c r="A1" s="4" t="str">
        <x:v>Inputs and Guardrails</x:v>
      </x:c>
      <x:c r="B1" s="4"/>
      <x:c r="C1" s="4"/>
      <x:c r="D1" s="4"/>
    </x:row>
    <x:row r="3" ht="22" customHeight="1">
      <x:c r="A3" s="30" t="str">
        <x:v>Input</x:v>
      </x:c>
      <x:c r="B3" s="31" t="str">
        <x:v>Value</x:v>
      </x:c>
      <x:c r="C3" s="31" t="str">
        <x:v>Notes</x:v>
      </x:c>
      <x:c r="D3" s="32" t="str">
        <x:v>Source / reference</x:v>
      </x:c>
    </x:row>
    <x:row r="4" ht="22" customHeight="1">
      <x:c r="A4" s="14" t="str">
        <x:v>Pro monthly price</x:v>
      </x:c>
      <x:c r="B4" s="38" t="n">
        <x:v>20</x:v>
      </x:c>
      <x:c r="C4" s="9" t="str">
        <x:v>Current working plan anchor</x:v>
      </x:c>
      <x:c r="D4" s="15" t="str">
        <x:v>docs/prd/specs/pricing-packaging-and-unit-economics.md</x:v>
      </x:c>
    </x:row>
    <x:row r="5" ht="22" customHeight="1">
      <x:c r="A5" s="14" t="str">
        <x:v>Pro included minutes</x:v>
      </x:c>
      <x:c r="B5" s="40" t="n">
        <x:v>90</x:v>
      </x:c>
      <x:c r="C5" s="9" t="str">
        <x:v>Conditional internal anchor</x:v>
      </x:c>
      <x:c r="D5" s="15" t="str">
        <x:v>docs/prd/specs/pricing-packaging-and-unit-economics.md</x:v>
      </x:c>
    </x:row>
    <x:row r="6" ht="22" customHeight="1">
      <x:c r="A6" s="14" t="str">
        <x:v>Target gross margin floor</x:v>
      </x:c>
      <x:c r="B6" s="42" t="n">
        <x:v>0.7</x:v>
      </x:c>
      <x:c r="C6" s="9" t="str">
        <x:v>Before broader self-serve rollout</x:v>
      </x:c>
      <x:c r="D6" s="15" t="str">
        <x:v>docs/prd/specs/pricing-packaging-and-unit-economics.md</x:v>
      </x:c>
    </x:row>
    <x:row r="7" ht="22" customHeight="1">
      <x:c r="A7" s="14" t="str">
        <x:v>Payment fee rate</x:v>
      </x:c>
      <x:c r="B7" s="42" t="n">
        <x:v>0.03</x:v>
      </x:c>
      <x:c r="C7" s="9" t="str">
        <x:v>Effective payment fee assumption</x:v>
      </x:c>
      <x:c r="D7" s="15" t="str">
        <x:v>docs/prd/specs/pricing-packaging-and-unit-economics.md</x:v>
      </x:c>
    </x:row>
    <x:row r="8" ht="22" customHeight="1">
      <x:c r="A8" s="14" t="str">
        <x:v>Chars per audio minute</x:v>
      </x:c>
      <x:c r="B8" s="44" t="n">
        <x:v>900</x:v>
      </x:c>
      <x:c r="C8" s="9" t="str">
        <x:v>Average source characters per delivered audio minute</x:v>
      </x:c>
      <x:c r="D8" s="15" t="str">
        <x:v>docs/prd/specs/pricing-packaging-and-unit-economics.md</x:v>
      </x:c>
    </x:row>
    <x:row r="9" ht="22" customHeight="1">
      <x:c r="A9" s="14" t="str">
        <x:v>Retry overhead factor</x:v>
      </x:c>
      <x:c r="B9" s="44" t="n">
        <x:v>1.15</x:v>
      </x:c>
      <x:c r="C9" s="9" t="str">
        <x:v>Retry, re-stitch, orchestration overhead</x:v>
      </x:c>
      <x:c r="D9" s="15" t="str">
        <x:v>docs/prd/specs/pricing-packaging-and-unit-economics.md</x:v>
      </x:c>
    </x:row>
    <x:row r="10" ht="22" customHeight="1">
      <x:c r="A10" s="14" t="str">
        <x:v>STT cost / audio minute</x:v>
      </x:c>
      <x:c r="B10" s="46" t="n">
        <x:v>0.016</x:v>
      </x:c>
      <x:c r="C10" s="9" t="str">
        <x:v>Current Google STT planning default</x:v>
      </x:c>
      <x:c r="D10" s="15" t="str">
        <x:v>https://cloud.google.com/speech-to-text/pricing</x:v>
      </x:c>
    </x:row>
    <x:row r="11" ht="22" customHeight="1">
      <x:c r="A11" s="14" t="str">
        <x:v>Alignment compute / audio minute</x:v>
      </x:c>
      <x:c r="B11" s="46" t="n">
        <x:v>0.01</x:v>
      </x:c>
      <x:c r="C11" s="9" t="str">
        <x:v>Forced alignment or extra compute allowance</x:v>
      </x:c>
      <x:c r="D11" s="15" t="str">
        <x:v>Internal planning input</x:v>
      </x:c>
    </x:row>
    <x:row r="12" ht="22" customHeight="1">
      <x:c r="A12" s="14" t="str">
        <x:v>Storage &amp; delivery / audio minute</x:v>
      </x:c>
      <x:c r="B12" s="46" t="n">
        <x:v>0.002</x:v>
      </x:c>
      <x:c r="C12" s="9" t="str">
        <x:v>Artifact storage and delivery allocation</x:v>
      </x:c>
      <x:c r="D12" s="15" t="str">
        <x:v>Internal planning input</x:v>
      </x:c>
    </x:row>
    <x:row r="13" ht="22" customHeight="1">
      <x:c r="A13" s="14" t="str">
        <x:v>Non-TTS cost / completed minute</x:v>
      </x:c>
      <x:c r="B13" s="46" t="n">
        <x:f>SUM(B10:B12)</x:f>
        <x:v>0.028000000000000004</x:v>
      </x:c>
      <x:c r="C13" s="9" t="str">
        <x:v>STT + alignment compute + storage</x:v>
      </x:c>
      <x:c r="D13" s="15" t="str">
        <x:v>Formula</x:v>
      </x:c>
    </x:row>
    <x:row r="14" ht="22" customHeight="1">
      <x:c r="A14" s="14" t="str">
        <x:v>Plan exposure guardrail</x:v>
      </x:c>
      <x:c r="B14" s="46" t="n">
        <x:f>B4*(1-B6-B7)</x:f>
        <x:v>5.4</x:v>
      </x:c>
      <x:c r="C14" s="9" t="str">
        <x:v>Revenue left for full included exposure after fees and target GM</x:v>
      </x:c>
      <x:c r="D14" s="15" t="str">
        <x:v>Formula</x:v>
      </x:c>
    </x:row>
    <x:row r="15" ht="22" customHeight="1">
      <x:c r="A15" s="14" t="str">
        <x:v>Max total variable cost / minute</x:v>
      </x:c>
      <x:c r="B15" s="46" t="n">
        <x:f>B14/B5</x:f>
        <x:v>0.060000000000000005</x:v>
      </x:c>
      <x:c r="C15" s="9" t="str">
        <x:v>Guardrail divided by included minutes</x:v>
      </x:c>
      <x:c r="D15" s="15" t="str">
        <x:v>Formula</x:v>
      </x:c>
    </x:row>
    <x:row r="16" ht="22" customHeight="1">
      <x:c r="A16" s="16" t="str">
        <x:v>Max allowed TTS rate / 1M chars</x:v>
      </x:c>
      <x:c r="B16" s="47" t="n">
        <x:f>((B15-B13)/B9)*(1000000/B8)</x:f>
        <x:v>30.917874396135264</x:v>
      </x:c>
      <x:c r="C16" s="33" t="str">
        <x:v>Upper bound for Pro $20 / 90 min under current assumptions</x:v>
      </x:c>
      <x:c r="D16" s="17" t="str">
        <x:v>Formula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2" hidden="0" customWidth="1"/>
    <x:col min="12" max="12" width="36" hidden="0" customWidth="1"/>
  </x:cols>
  <x:sheetData>
    <x:row r="1">
      <x:c r="A1" s="4" t="str">
        <x:v>Provider Cost Scenarios for Pro Guardrail</x:v>
      </x:c>
      <x:c r="B1" s="4"/>
      <x:c r="C1" s="4"/>
      <x:c r="D1" s="4"/>
      <x:c r="E1" s="4"/>
      <x:c r="F1" s="62"/>
      <x:c r="G1" s="62"/>
      <x:c r="H1" s="62"/>
      <x:c r="I1" s="4"/>
      <x:c r="J1" s="4"/>
      <x:c r="K1" s="4"/>
      <x:c r="L1" s="4"/>
    </x:row>
    <x:row r="3" ht="22" customHeight="1">
      <x:c r="A3" s="30" t="str">
        <x:v>Provider</x:v>
      </x:c>
      <x:c r="B3" s="31" t="str">
        <x:v>Scenario</x:v>
      </x:c>
      <x:c r="C3" s="31" t="str">
        <x:v>Public monthly plan price</x:v>
      </x:c>
      <x:c r="D3" s="31" t="str">
        <x:v>Included chars / credits</x:v>
      </x:c>
      <x:c r="E3" s="31" t="str">
        <x:v>Effective TTS rate / 1M chars</x:v>
      </x:c>
      <x:c r="F3" s="31" t="str">
        <x:v>TTS cost / completed min</x:v>
      </x:c>
      <x:c r="G3" s="31" t="str">
        <x:v>Full variable cost / completed min</x:v>
      </x:c>
      <x:c r="H3" s="31" t="str">
        <x:v>Full exposure cost @ Pro mins</x:v>
      </x:c>
      <x:c r="I3" s="31" t="str">
        <x:v>GM after fees @ Pro</x:v>
      </x:c>
      <x:c r="J3" s="31" t="str">
        <x:v>Status vs 70% floor</x:v>
      </x:c>
      <x:c r="K3" s="31" t="str">
        <x:v>Notes</x:v>
      </x:c>
      <x:c r="L3" s="32" t="str">
        <x:v>Source URL</x:v>
      </x:c>
    </x:row>
    <x:row r="4" ht="22" customHeight="1">
      <x:c r="A4" s="14" t="str">
        <x:v>Inworld</x:v>
      </x:c>
      <x:c r="B4" s="8" t="str">
        <x:v>marketing_doc_equivalent</x:v>
      </x:c>
      <x:c r="C4" s="38"/>
      <x:c r="D4" s="54"/>
      <x:c r="E4" s="58" t="n">
        <x:v>10</x:v>
      </x:c>
      <x:c r="F4" s="9" t="n">
        <x:f>(E4/1000000*Assumptions!$B$8)*Assumptions!$B$9</x:f>
        <x:v>0.01035</x:v>
      </x:c>
      <x:c r="G4" s="9" t="n">
        <x:f>F4+Assumptions!$B$13</x:f>
        <x:v>0.03835</x:v>
      </x:c>
      <x:c r="H4" s="9" t="n">
        <x:f>G4*Assumptions!$B$5</x:f>
        <x:v>3.4515000000000002</x:v>
      </x:c>
      <x:c r="I4" s="64" t="n">
        <x:f>(Assumptions!$B$4-H4-Assumptions!$B$4*Assumptions!$B$7)/Assumptions!$B$4</x:f>
        <x:v>0.797425</x:v>
      </x:c>
      <x:c r="J4" s="9" t="str">
        <x:f>IF(I4&gt;=Assumptions!$B$6,"PASS","FAIL")</x:f>
        <x:v>PASS</x:v>
      </x:c>
      <x:c r="K4" s="9" t="str">
        <x:v>Public TTS API page states TTS-1.5 Max at $10 / 1M chars</x:v>
      </x:c>
      <x:c r="L4" s="15" t="str">
        <x:v>https://inworld.ai/tts-api</x:v>
      </x:c>
    </x:row>
    <x:row r="5" ht="22" customHeight="1">
      <x:c r="A5" s="14" t="str">
        <x:v>Inworld</x:v>
      </x:c>
      <x:c r="B5" s="8" t="str">
        <x:v>growth_equivalent</x:v>
      </x:c>
      <x:c r="C5" s="38" t="n">
        <x:v>1500</x:v>
      </x:c>
      <x:c r="D5" s="54"/>
      <x:c r="E5" s="58" t="n">
        <x:v>30</x:v>
      </x:c>
      <x:c r="F5" s="9" t="n">
        <x:f>(E5/1000000*Assumptions!$B$8)*Assumptions!$B$9</x:f>
        <x:v>0.031049999999999998</x:v>
      </x:c>
      <x:c r="G5" s="9" t="n">
        <x:f>F5+Assumptions!$B$13</x:f>
        <x:v>0.059050000000000005</x:v>
      </x:c>
      <x:c r="H5" s="9" t="n">
        <x:f>G5*Assumptions!$B$5</x:f>
        <x:v>5.314500000000001</x:v>
      </x:c>
      <x:c r="I5" s="64" t="n">
        <x:f>(Assumptions!$B$4-H5-Assumptions!$B$4*Assumptions!$B$7)/Assumptions!$B$4</x:f>
        <x:v>0.704275</x:v>
      </x:c>
      <x:c r="J5" s="9" t="str">
        <x:f>IF(I5&gt;=Assumptions!$B$6,"PASS","FAIL")</x:f>
        <x:v>PASS</x:v>
      </x:c>
      <x:c r="K5" s="9" t="str">
        <x:v>Public pricing page growth-tier visible rate</x:v>
      </x:c>
      <x:c r="L5" s="15" t="str">
        <x:v>https://inworld.ai/pricing</x:v>
      </x:c>
    </x:row>
    <x:row r="6" ht="22" customHeight="1">
      <x:c r="A6" s="14" t="str">
        <x:v>Inworld</x:v>
      </x:c>
      <x:c r="B6" s="8" t="str">
        <x:v>developer_equivalent</x:v>
      </x:c>
      <x:c r="C6" s="38" t="n">
        <x:v>300</x:v>
      </x:c>
      <x:c r="D6" s="54"/>
      <x:c r="E6" s="58" t="n">
        <x:v>40</x:v>
      </x:c>
      <x:c r="F6" s="9" t="n">
        <x:f>(E6/1000000*Assumptions!$B$8)*Assumptions!$B$9</x:f>
        <x:v>0.0414</x:v>
      </x:c>
      <x:c r="G6" s="9" t="n">
        <x:f>F6+Assumptions!$B$13</x:f>
        <x:v>0.0694</x:v>
      </x:c>
      <x:c r="H6" s="9" t="n">
        <x:f>G6*Assumptions!$B$5</x:f>
        <x:v>6.246</x:v>
      </x:c>
      <x:c r="I6" s="64" t="n">
        <x:f>(Assumptions!$B$4-H6-Assumptions!$B$4*Assumptions!$B$7)/Assumptions!$B$4</x:f>
        <x:v>0.6577</x:v>
      </x:c>
      <x:c r="J6" s="9" t="str">
        <x:f>IF(I6&gt;=Assumptions!$B$6,"PASS","FAIL")</x:f>
        <x:v>FAIL</x:v>
      </x:c>
      <x:c r="K6" s="9" t="str">
        <x:v>Public pricing page developer-tier visible rate</x:v>
      </x:c>
      <x:c r="L6" s="15" t="str">
        <x:v>https://inworld.ai/pricing</x:v>
      </x:c>
    </x:row>
    <x:row r="7" ht="22" customHeight="1">
      <x:c r="A7" s="14" t="str">
        <x:v>Inworld</x:v>
      </x:c>
      <x:c r="B7" s="8" t="str">
        <x:v>creator_equivalent</x:v>
      </x:c>
      <x:c r="C7" s="38" t="n">
        <x:v>25</x:v>
      </x:c>
      <x:c r="D7" s="54"/>
      <x:c r="E7" s="58" t="n">
        <x:v>50</x:v>
      </x:c>
      <x:c r="F7" s="9" t="n">
        <x:f>(E7/1000000*Assumptions!$B$8)*Assumptions!$B$9</x:f>
        <x:v>0.051750000000000004</x:v>
      </x:c>
      <x:c r="G7" s="9" t="n">
        <x:f>F7+Assumptions!$B$13</x:f>
        <x:v>0.07975000000000002</x:v>
      </x:c>
      <x:c r="H7" s="9" t="n">
        <x:f>G7*Assumptions!$B$5</x:f>
        <x:v>7.177500000000001</x:v>
      </x:c>
      <x:c r="I7" s="64" t="n">
        <x:f>(Assumptions!$B$4-H7-Assumptions!$B$4*Assumptions!$B$7)/Assumptions!$B$4</x:f>
        <x:v>0.6111249999999999</x:v>
      </x:c>
      <x:c r="J7" s="9" t="str">
        <x:f>IF(I7&gt;=Assumptions!$B$6,"PASS","FAIL")</x:f>
        <x:v>FAIL</x:v>
      </x:c>
      <x:c r="K7" s="9" t="str">
        <x:v>Public pricing page creator-tier visible rate</x:v>
      </x:c>
      <x:c r="L7" s="15" t="str">
        <x:v>https://inworld.ai/pricing</x:v>
      </x:c>
    </x:row>
    <x:row r="8" ht="22" customHeight="1">
      <x:c r="A8" s="14" t="str">
        <x:v>Cartesia</x:v>
      </x:c>
      <x:c r="B8" s="8" t="str">
        <x:v>scale_equivalent</x:v>
      </x:c>
      <x:c r="C8" s="38" t="n">
        <x:v>239</x:v>
      </x:c>
      <x:c r="D8" s="54" t="n">
        <x:v>8000000</x:v>
      </x:c>
      <x:c r="E8" s="58" t="n">
        <x:f>C8/D8*1000000</x:f>
        <x:v>29.875</x:v>
      </x:c>
      <x:c r="F8" s="9" t="n">
        <x:f>(E8/1000000*Assumptions!$B$8)*Assumptions!$B$9</x:f>
        <x:v>0.030920625</x:v>
      </x:c>
      <x:c r="G8" s="9" t="n">
        <x:f>F8+Assumptions!$B$13</x:f>
        <x:v>0.058920625000000004</x:v>
      </x:c>
      <x:c r="H8" s="9" t="n">
        <x:f>G8*Assumptions!$B$5</x:f>
        <x:v>5.3028562500000005</x:v>
      </x:c>
      <x:c r="I8" s="64" t="n">
        <x:f>(Assumptions!$B$4-H8-Assumptions!$B$4*Assumptions!$B$7)/Assumptions!$B$4</x:f>
        <x:v>0.7048571874999999</x:v>
      </x:c>
      <x:c r="J8" s="9" t="str">
        <x:f>IF(I8&gt;=Assumptions!$B$6,"PASS","FAIL")</x:f>
        <x:v>PASS</x:v>
      </x:c>
      <x:c r="K8" s="9" t="str">
        <x:v>$239 / 8M credits; 1 credit per character</x:v>
      </x:c>
      <x:c r="L8" s="15" t="str">
        <x:v>https://cartesia.ai/pricing</x:v>
      </x:c>
    </x:row>
    <x:row r="9" ht="22" customHeight="1">
      <x:c r="A9" s="14" t="str">
        <x:v>Cartesia</x:v>
      </x:c>
      <x:c r="B9" s="8" t="str">
        <x:v>startup_equivalent</x:v>
      </x:c>
      <x:c r="C9" s="38" t="n">
        <x:v>39</x:v>
      </x:c>
      <x:c r="D9" s="54" t="n">
        <x:v>1250000</x:v>
      </x:c>
      <x:c r="E9" s="58" t="n">
        <x:f>C9/D9*1000000</x:f>
        <x:v>31.2</x:v>
      </x:c>
      <x:c r="F9" s="9" t="n">
        <x:f>(E9/1000000*Assumptions!$B$8)*Assumptions!$B$9</x:f>
        <x:v>0.032292</x:v>
      </x:c>
      <x:c r="G9" s="9" t="n">
        <x:f>F9+Assumptions!$B$13</x:f>
        <x:v>0.060292000000000005</x:v>
      </x:c>
      <x:c r="H9" s="9" t="n">
        <x:f>G9*Assumptions!$B$5</x:f>
        <x:v>5.42628</x:v>
      </x:c>
      <x:c r="I9" s="64" t="n">
        <x:f>(Assumptions!$B$4-H9-Assumptions!$B$4*Assumptions!$B$7)/Assumptions!$B$4</x:f>
        <x:v>0.698686</x:v>
      </x:c>
      <x:c r="J9" s="9" t="str">
        <x:f>IF(I9&gt;=Assumptions!$B$6,"PASS","FAIL")</x:f>
        <x:v>FAIL</x:v>
      </x:c>
      <x:c r="K9" s="9" t="str">
        <x:v>$39 / 1.25M credits; 1 credit per character</x:v>
      </x:c>
      <x:c r="L9" s="15" t="str">
        <x:v>https://cartesia.ai/pricing</x:v>
      </x:c>
    </x:row>
    <x:row r="10" ht="22" customHeight="1">
      <x:c r="A10" s="16" t="str">
        <x:v>Cartesia</x:v>
      </x:c>
      <x:c r="B10" s="50" t="str">
        <x:v>pro_equivalent</x:v>
      </x:c>
      <x:c r="C10" s="52" t="n">
        <x:v>4</x:v>
      </x:c>
      <x:c r="D10" s="55" t="n">
        <x:v>100000</x:v>
      </x:c>
      <x:c r="E10" s="59" t="n">
        <x:f>C10/D10*1000000</x:f>
        <x:v>40</x:v>
      </x:c>
      <x:c r="F10" s="33" t="n">
        <x:f>(E10/1000000*Assumptions!$B$8)*Assumptions!$B$9</x:f>
        <x:v>0.0414</x:v>
      </x:c>
      <x:c r="G10" s="33" t="n">
        <x:f>F10+Assumptions!$B$13</x:f>
        <x:v>0.0694</x:v>
      </x:c>
      <x:c r="H10" s="33" t="n">
        <x:f>G10*Assumptions!$B$5</x:f>
        <x:v>6.246</x:v>
      </x:c>
      <x:c r="I10" s="65" t="n">
        <x:f>(Assumptions!$B$4-H10-Assumptions!$B$4*Assumptions!$B$7)/Assumptions!$B$4</x:f>
        <x:v>0.6577</x:v>
      </x:c>
      <x:c r="J10" s="33" t="str">
        <x:f>IF(I10&gt;=Assumptions!$B$6,"PASS","FAIL")</x:f>
        <x:v>FAIL</x:v>
      </x:c>
      <x:c r="K10" s="33" t="str">
        <x:v>$4 / 100K credits; 1 credit per character</x:v>
      </x:c>
      <x:c r="L10" s="17" t="str">
        <x:v>https://cartesia.ai/pricing</x:v>
      </x:c>
    </x:row>
  </x:sheetData>
  <x:mergeCells>
    <x:mergeCell ref="A1:L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24" hidden="0" customWidth="1"/>
    <x:col min="5" max="5" width="24" hidden="0" customWidth="1"/>
    <x:col min="6" max="6" width="22" hidden="0" customWidth="1"/>
    <x:col min="7" max="7" width="42" hidden="0" customWidth="1"/>
    <x:col min="8" max="8" width="36" hidden="0" customWidth="1"/>
  </x:cols>
  <x:sheetData>
    <x:row r="1">
      <x:c r="A1" s="4" t="str">
        <x:v>Public Market Benchmarks</x:v>
      </x:c>
      <x:c r="B1" s="4"/>
      <x:c r="C1" s="4"/>
      <x:c r="D1" s="4"/>
      <x:c r="E1" s="4"/>
      <x:c r="F1" s="4"/>
      <x:c r="G1" s="4"/>
      <x:c r="H1" s="4"/>
    </x:row>
    <x:row r="3" ht="24" customHeight="1">
      <x:c r="A3" s="30" t="str">
        <x:v>Company</x:v>
      </x:c>
      <x:c r="B3" s="31" t="str">
        <x:v>Offer / plan</x:v>
      </x:c>
      <x:c r="C3" s="31" t="str">
        <x:v>Public price</x:v>
      </x:c>
      <x:c r="D3" s="31" t="str">
        <x:v>Included usage signal</x:v>
      </x:c>
      <x:c r="E3" s="31" t="str">
        <x:v>Long-form signal</x:v>
      </x:c>
      <x:c r="F3" s="31" t="str">
        <x:v>Timing / subtitle signal</x:v>
      </x:c>
      <x:c r="G3" s="31" t="str">
        <x:v>Strategic read</x:v>
      </x:c>
      <x:c r="H3" s="32" t="str">
        <x:v>Source URL</x:v>
      </x:c>
    </x:row>
    <x:row r="4" ht="24" customHeight="1">
      <x:c r="A4" s="14" t="str">
        <x:v>ElevenLabs</x:v>
      </x:c>
      <x:c r="B4" s="8" t="str">
        <x:v>Starter</x:v>
      </x:c>
      <x:c r="C4" s="9" t="str">
        <x:v>$6/mo</x:v>
      </x:c>
      <x:c r="D4" s="9" t="str">
        <x:v>~30 UI TTS min</x:v>
      </x:c>
      <x:c r="E4" s="9" t="str">
        <x:v>Studio access; 20 Studio projects</x:v>
      </x:c>
      <x:c r="F4" s="9" t="str">
        <x:v>Timing API available</x:v>
      </x:c>
      <x:c r="G4" s="9" t="str">
        <x:v>Broad self-serve entry; not a moat target</x:v>
      </x:c>
      <x:c r="H4" s="15" t="str">
        <x:v>https://elevenlabs.io/pricing</x:v>
      </x:c>
    </x:row>
    <x:row r="5" ht="24" customHeight="1">
      <x:c r="A5" s="14" t="str">
        <x:v>ElevenLabs</x:v>
      </x:c>
      <x:c r="B5" s="8" t="str">
        <x:v>Creator</x:v>
      </x:c>
      <x:c r="C5" s="9" t="str">
        <x:v>$11/mo</x:v>
      </x:c>
      <x:c r="D5" s="9" t="str">
        <x:v>~121 UI TTS min</x:v>
      </x:c>
      <x:c r="E5" s="9" t="str">
        <x:v>Long-form public self-serve path</x:v>
      </x:c>
      <x:c r="F5" s="9" t="str">
        <x:v>Timing API + STT + alignment stack</x:v>
      </x:c>
      <x:c r="G5" s="9" t="str">
        <x:v>Primary public benchmark for Orpheus workflow value</x:v>
      </x:c>
      <x:c r="H5" s="15" t="str">
        <x:v>https://elevenlabs.io/pricing</x:v>
      </x:c>
    </x:row>
    <x:row r="6" ht="24" customHeight="1">
      <x:c r="A6" s="14" t="str">
        <x:v>ElevenLabs</x:v>
      </x:c>
      <x:c r="B6" s="8" t="str">
        <x:v>Pro</x:v>
      </x:c>
      <x:c r="C6" s="9" t="str">
        <x:v>$99/mo</x:v>
      </x:c>
      <x:c r="D6" s="9" t="str">
        <x:v>~600 UI TTS min</x:v>
      </x:c>
      <x:c r="E6" s="9" t="str">
        <x:v>Higher-end self-serve package</x:v>
      </x:c>
      <x:c r="F6" s="9" t="str">
        <x:v>Broader quality / API export bundle</x:v>
      </x:c>
      <x:c r="G6" s="9" t="str">
        <x:v>Shows broad long-form category is already occupied</x:v>
      </x:c>
      <x:c r="H6" s="15" t="str">
        <x:v>https://elevenlabs.io/pricing</x:v>
      </x:c>
    </x:row>
    <x:row r="7" ht="24" customHeight="1">
      <x:c r="A7" s="14" t="str">
        <x:v>ElevenLabs</x:v>
      </x:c>
      <x:c r="B7" s="8" t="str">
        <x:v>Studio limits</x:v>
      </x:c>
      <x:c r="C7" s="9" t="str">
        <x:v>n/a</x:v>
      </x:c>
      <x:c r="D7" s="9" t="str">
        <x:v>Up to 500 chapters / 400 paragraphs / 5000 chars each</x:v>
      </x:c>
      <x:c r="E7" s="9" t="str">
        <x:v>Very large project envelope</x:v>
      </x:c>
      <x:c r="F7" s="9" t="str">
        <x:v>Character timing, STT, and forced alignment available</x:v>
      </x:c>
      <x:c r="G7" s="9" t="str">
        <x:v>Orpheus cannot lead with 'supports long text'</x:v>
      </x:c>
      <x:c r="H7" s="15" t="str">
        <x:v>https://help.elevenlabs.io/hc/en-us/articles/28622761381905-Are-there-any-limitations-to-the-size-of-a-project-in-Studio</x:v>
      </x:c>
    </x:row>
    <x:row r="8" ht="24" customHeight="1">
      <x:c r="A8" s="14" t="str">
        <x:v>WellSaid</x:v>
      </x:c>
      <x:c r="B8" s="8" t="str">
        <x:v>Creative</x:v>
      </x:c>
      <x:c r="C8" s="9" t="str">
        <x:v>$55/mo/user</x:v>
      </x:c>
      <x:c r="D8" s="9" t="str">
        <x:v>~72 audio hours / year</x:v>
      </x:c>
      <x:c r="E8" s="9" t="str">
        <x:v>Workflow-first voiceover plan</x:v>
      </x:c>
      <x:c r="F8" s="9" t="str">
        <x:v>No direct caption export at this level</x:v>
      </x:c>
      <x:c r="G8" s="9" t="str">
        <x:v>Shows premium workflow pricing can be much higher than low-end API math</x:v>
      </x:c>
      <x:c r="H8" s="15" t="str">
        <x:v>https://www.wellsaid.io/ai-voice-pricing</x:v>
      </x:c>
    </x:row>
    <x:row r="9" ht="24" customHeight="1">
      <x:c r="A9" s="14" t="str">
        <x:v>WellSaid</x:v>
      </x:c>
      <x:c r="B9" s="8" t="str">
        <x:v>Business</x:v>
      </x:c>
      <x:c r="C9" s="9" t="str">
        <x:v>Contact / higher tier</x:v>
      </x:c>
      <x:c r="D9" s="9" t="str">
        <x:v>~144 audio hours / year</x:v>
      </x:c>
      <x:c r="E9" s="9" t="str">
        <x:v>Team workflow plan</x:v>
      </x:c>
      <x:c r="F9" s="9" t="str">
        <x:v>Includes SRT and VTT export</x:v>
      </x:c>
      <x:c r="G9" s="9" t="str">
        <x:v>Caption convenience can be a paid differentiator</x:v>
      </x:c>
      <x:c r="H9" s="15" t="str">
        <x:v>https://www.wellsaid.io/ai-voice-pricing</x:v>
      </x:c>
    </x:row>
    <x:row r="10" ht="24" customHeight="1">
      <x:c r="A10" s="14" t="str">
        <x:v>Murf</x:v>
      </x:c>
      <x:c r="B10" s="8" t="str">
        <x:v>API PAYG</x:v>
      </x:c>
      <x:c r="C10" s="9" t="str">
        <x:v>$0.03 / 1000 chars</x:v>
      </x:c>
      <x:c r="D10" s="9" t="str">
        <x:v>PAYG</x:v>
      </x:c>
      <x:c r="E10" s="9" t="str">
        <x:v>Commodity API pressure</x:v>
      </x:c>
      <x:c r="F10" s="9" t="str">
        <x:v>No strong public subtitle story in this surfaced set</x:v>
      </x:c>
      <x:c r="G10" s="9" t="str">
        <x:v>Useful low-cost API reference, weaker wedge match</x:v>
      </x:c>
      <x:c r="H10" s="15" t="str">
        <x:v>https://help.murf.ai/murf-api-plans-and-limits</x:v>
      </x:c>
    </x:row>
    <x:row r="11" ht="24" customHeight="1">
      <x:c r="A11" s="14" t="str">
        <x:v>Murf</x:v>
      </x:c>
      <x:c r="B11" s="8" t="str">
        <x:v>Falcon</x:v>
      </x:c>
      <x:c r="C11" s="9" t="str">
        <x:v>$0.01 / min</x:v>
      </x:c>
      <x:c r="D11" s="9" t="str">
        <x:v>API model reference</x:v>
      </x:c>
      <x:c r="E11" s="9" t="str">
        <x:v>Fast low-latency voice path</x:v>
      </x:c>
      <x:c r="F11" s="9" t="str">
        <x:v>n/a</x:v>
      </x:c>
      <x:c r="G11" s="9" t="str">
        <x:v>Good reminder that cheap API pricing exists in pockets</x:v>
      </x:c>
      <x:c r="H11" s="15" t="str">
        <x:v>https://murf.ai/text-to-speech</x:v>
      </x:c>
    </x:row>
    <x:row r="12" ht="24" customHeight="1">
      <x:c r="A12" s="16" t="str">
        <x:v>Raphael</x:v>
      </x:c>
      <x:c r="B12" s="50" t="str">
        <x:v>Free / Premium / Ultimate</x:v>
      </x:c>
      <x:c r="C12" s="33" t="str">
        <x:v>Free / hidden paid prices</x:v>
      </x:c>
      <x:c r="D12" s="33" t="str">
        <x:v>10 credits/day + unlimited slow basic / 2000 / 5000 credits</x:v>
      </x:c>
      <x:c r="E12" s="33" t="str">
        <x:v>Not audio</x:v>
      </x:c>
      <x:c r="F12" s="33" t="str">
        <x:v>n/a</x:v>
      </x:c>
      <x:c r="G12" s="33" t="str">
        <x:v>Borrow the low-friction funnel and tier clarity, not unlimited-free economics</x:v>
      </x:c>
      <x:c r="H12" s="17" t="str">
        <x:v>https://raphael.app/pricing</x:v>
      </x:c>
    </x:row>
  </x:sheetData>
  <x:mergeCells>
    <x:mergeCell ref="A1:H1"/>
  </x:mergeCells>
  <x:pageMargins left="0.7" right="0.7" top="0.75" bottom="0.75" header="0.3" footer="0.3"/>
</x:worksheet>
</file>