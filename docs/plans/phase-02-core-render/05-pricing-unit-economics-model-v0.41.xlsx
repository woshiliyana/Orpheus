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vider_Scenarios" sheetId="3" state="visible" r:id="rId5"/>
    <sheet name="Market_Benchmar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<sst xmlns="http://schemas.openxmlformats.org/spreadsheetml/2006/main" count="185" uniqueCount="150">
  <si>
    <t xml:space="preserve">Orpheus v0.41 Increment Summary</t>
  </si>
  <si>
    <t xml:space="preserve">Working Pro package</t>
  </si>
  <si>
    <t xml:space="preserve">$20 / 90 min</t>
  </si>
  <si>
    <t xml:space="preserve">Target gross margin floor</t>
  </si>
  <si>
    <t xml:space="preserve">Max allowed TTS rate / 1M chars</t>
  </si>
  <si>
    <t xml:space="preserve">Inworld current On-Demand GM</t>
  </si>
  <si>
    <t xml:space="preserve">Inworld Creator-equivalent GM</t>
  </si>
  <si>
    <t xml:space="preserve">Inworld Developer-equivalent GM</t>
  </si>
  <si>
    <t xml:space="preserve">Inworld Growth-equivalent GM</t>
  </si>
  <si>
    <t xml:space="preserve">Cartesia startup-equivalent GM</t>
  </si>
  <si>
    <t xml:space="preserve">Recommended build path</t>
  </si>
  <si>
    <t xml:space="preserve">Inworld first + Cartesia benchmark; keep current-account and discounted-tier scenarios separate</t>
  </si>
  <si>
    <t xml:space="preserve">Working reading: Current Inworld live-smoke testing is on the $50 / 1M chars On-Demand / Creator rate. Preserve Developer ($40) and Growth ($30) scenarios, but do not treat $30 as current account truth. Pro $20 / 90 min remains conditional until the provider-rate scenario or realized usage clears the guardrail.</t>
  </si>
  <si>
    <t xml:space="preserve">Inputs and Guardrails</t>
  </si>
  <si>
    <t xml:space="preserve">Input</t>
  </si>
  <si>
    <t xml:space="preserve">Value</t>
  </si>
  <si>
    <t xml:space="preserve">Notes</t>
  </si>
  <si>
    <t xml:space="preserve">Source / reference</t>
  </si>
  <si>
    <t xml:space="preserve">Pro monthly price</t>
  </si>
  <si>
    <t xml:space="preserve">Current working plan anchor</t>
  </si>
  <si>
    <t xml:space="preserve">docs/prd/specs/pricing-packaging-and-unit-economics.md</t>
  </si>
  <si>
    <t xml:space="preserve">Pro included minutes</t>
  </si>
  <si>
    <t xml:space="preserve">Conditional internal anchor</t>
  </si>
  <si>
    <t xml:space="preserve">Before broader self-serve rollout</t>
  </si>
  <si>
    <t xml:space="preserve">Payment fee rate</t>
  </si>
  <si>
    <t xml:space="preserve">Effective payment fee assumption</t>
  </si>
  <si>
    <t xml:space="preserve">Chars per audio minute</t>
  </si>
  <si>
    <t xml:space="preserve">Average source characters per delivered audio minute; April 25 Spanish live smoke observed about 901 chars/min</t>
  </si>
  <si>
    <t xml:space="preserve">Retry overhead factor</t>
  </si>
  <si>
    <t xml:space="preserve">Retry, re-stitch, orchestration overhead</t>
  </si>
  <si>
    <t xml:space="preserve">STT cost / audio minute</t>
  </si>
  <si>
    <t xml:space="preserve">Current Google STT planning default</t>
  </si>
  <si>
    <t xml:space="preserve">https://cloud.google.com/speech-to-text/pricing</t>
  </si>
  <si>
    <t xml:space="preserve">Alignment compute / audio minute</t>
  </si>
  <si>
    <t xml:space="preserve">Forced alignment or extra compute allowance</t>
  </si>
  <si>
    <t xml:space="preserve">Internal planning input</t>
  </si>
  <si>
    <t xml:space="preserve">Storage &amp; delivery / audio minute</t>
  </si>
  <si>
    <t xml:space="preserve">Artifact storage and delivery allocation</t>
  </si>
  <si>
    <t xml:space="preserve">Non-TTS cost / completed minute</t>
  </si>
  <si>
    <t xml:space="preserve">STT + alignment compute + storage</t>
  </si>
  <si>
    <t xml:space="preserve">Formula</t>
  </si>
  <si>
    <t xml:space="preserve">Plan exposure guardrail</t>
  </si>
  <si>
    <t xml:space="preserve">Revenue left for full included exposure after fees and target GM</t>
  </si>
  <si>
    <t xml:space="preserve">Max total variable cost / minute</t>
  </si>
  <si>
    <t xml:space="preserve">Guardrail divided by included minutes</t>
  </si>
  <si>
    <t xml:space="preserve">Upper bound for Pro $20 / 90 min under current assumptions; compare provider scenarios against this value</t>
  </si>
  <si>
    <t xml:space="preserve">Provider Cost Scenarios for Pro Guardrail</t>
  </si>
  <si>
    <t xml:space="preserve">Provider</t>
  </si>
  <si>
    <t xml:space="preserve">Scenario</t>
  </si>
  <si>
    <t xml:space="preserve">Public monthly plan price</t>
  </si>
  <si>
    <t xml:space="preserve">Included chars / credits</t>
  </si>
  <si>
    <t xml:space="preserve">Effective TTS rate / 1M chars</t>
  </si>
  <si>
    <t xml:space="preserve">TTS cost / completed min</t>
  </si>
  <si>
    <t xml:space="preserve">Full variable cost / completed min</t>
  </si>
  <si>
    <t xml:space="preserve">Full exposure cost @ Pro mins</t>
  </si>
  <si>
    <t xml:space="preserve">GM after fees @ Pro</t>
  </si>
  <si>
    <t xml:space="preserve">Status vs 70% floor</t>
  </si>
  <si>
    <t xml:space="preserve">Source URL</t>
  </si>
  <si>
    <t xml:space="preserve">Inworld</t>
  </si>
  <si>
    <t xml:space="preserve">on_demand_current</t>
  </si>
  <si>
    <t xml:space="preserve">PAYG</t>
  </si>
  <si>
    <t xml:space="preserve">Current On-Demand account usage rate observed in April 2026; same TTS Max unit rate as Creator</t>
  </si>
  <si>
    <t xml:space="preserve">User-provided Inworld usage/pricing screenshots, 2026-04-25; https://inworld.ai/pricing</t>
  </si>
  <si>
    <t xml:space="preserve">creator_equivalent</t>
  </si>
  <si>
    <t xml:space="preserve">Creator: $25 credits per month; TTS Max unit rate remains $50 / 1M chars</t>
  </si>
  <si>
    <t xml:space="preserve">User-provided Inworld pricing screenshot, 2026-04-25; https://inworld.ai/pricing</t>
  </si>
  <si>
    <t xml:space="preserve">developer_equivalent</t>
  </si>
  <si>
    <t xml:space="preserve">Developer: $300 credits per month with 20% off TTS and STT; TTS Max $40 / 1M chars</t>
  </si>
  <si>
    <t xml:space="preserve">growth_equivalent</t>
  </si>
  <si>
    <t xml:space="preserve">Growth: $1,500 credits per month with 40% off TTS and STT; TTS Max $30 / 1M chars</t>
  </si>
  <si>
    <t xml:space="preserve">marketing_doc_equivalent</t>
  </si>
  <si>
    <t xml:space="preserve">Public TTS API page states TTS-1.5 Max at $10 / 1M chars; not invoice-equivalent for current account</t>
  </si>
  <si>
    <t xml:space="preserve">https://inworld.ai/tts-api</t>
  </si>
  <si>
    <t xml:space="preserve">Cartesia</t>
  </si>
  <si>
    <t xml:space="preserve">scale_equivalent</t>
  </si>
  <si>
    <t xml:space="preserve">$239 / 8M credits; 1 credit per character</t>
  </si>
  <si>
    <t xml:space="preserve">https://cartesia.ai/pricing</t>
  </si>
  <si>
    <t xml:space="preserve">startup_equivalent</t>
  </si>
  <si>
    <t xml:space="preserve">$39 / 1.25M credits; 1 credit per character</t>
  </si>
  <si>
    <t xml:space="preserve">pro_equivalent</t>
  </si>
  <si>
    <t xml:space="preserve">$4 / 100K credits; 1 credit per character</t>
  </si>
  <si>
    <t xml:space="preserve">Public Market Benchmarks</t>
  </si>
  <si>
    <t xml:space="preserve">Company</t>
  </si>
  <si>
    <t xml:space="preserve">Offer / plan</t>
  </si>
  <si>
    <t xml:space="preserve">Public price</t>
  </si>
  <si>
    <t xml:space="preserve">Included usage signal</t>
  </si>
  <si>
    <t xml:space="preserve">Long-form signal</t>
  </si>
  <si>
    <t xml:space="preserve">Timing / subtitle signal</t>
  </si>
  <si>
    <t xml:space="preserve">Strategic read</t>
  </si>
  <si>
    <t xml:space="preserve">ElevenLabs</t>
  </si>
  <si>
    <t xml:space="preserve">Starter</t>
  </si>
  <si>
    <t xml:space="preserve">$6/mo</t>
  </si>
  <si>
    <t xml:space="preserve">~30 UI TTS min</t>
  </si>
  <si>
    <t xml:space="preserve">Studio access; 20 Studio projects</t>
  </si>
  <si>
    <t xml:space="preserve">Timing API available</t>
  </si>
  <si>
    <t xml:space="preserve">Broad self-serve entry; not a moat target</t>
  </si>
  <si>
    <t xml:space="preserve">https://elevenlabs.io/pricing</t>
  </si>
  <si>
    <t xml:space="preserve">Creator</t>
  </si>
  <si>
    <t xml:space="preserve">$11/mo</t>
  </si>
  <si>
    <t xml:space="preserve">~121 UI TTS min</t>
  </si>
  <si>
    <t xml:space="preserve">Long-form public self-serve path</t>
  </si>
  <si>
    <t xml:space="preserve">Timing API + STT + alignment stack</t>
  </si>
  <si>
    <t xml:space="preserve">Primary public benchmark for Orpheus workflow value</t>
  </si>
  <si>
    <t xml:space="preserve">Pro</t>
  </si>
  <si>
    <t xml:space="preserve">$99/mo</t>
  </si>
  <si>
    <t xml:space="preserve">~600 UI TTS min</t>
  </si>
  <si>
    <t xml:space="preserve">Higher-end self-serve package</t>
  </si>
  <si>
    <t xml:space="preserve">Broader quality / API export bundle</t>
  </si>
  <si>
    <t xml:space="preserve">Shows broad long-form category is already occupied</t>
  </si>
  <si>
    <t xml:space="preserve">Studio limits</t>
  </si>
  <si>
    <t xml:space="preserve">n/a</t>
  </si>
  <si>
    <t xml:space="preserve">Up to 500 chapters / 400 paragraphs / 5000 chars each</t>
  </si>
  <si>
    <t xml:space="preserve">Very large project envelope</t>
  </si>
  <si>
    <t xml:space="preserve">Character timing, STT, and forced alignment available</t>
  </si>
  <si>
    <t xml:space="preserve">Orpheus cannot lead with 'supports long text'</t>
  </si>
  <si>
    <t xml:space="preserve">https://help.elevenlabs.io/hc/en-us/articles/28622761381905-Are-there-any-limitations-to-the-size-of-a-project-in-Studio</t>
  </si>
  <si>
    <t xml:space="preserve">WellSaid</t>
  </si>
  <si>
    <t xml:space="preserve">Creative</t>
  </si>
  <si>
    <t xml:space="preserve">$55/mo/user</t>
  </si>
  <si>
    <t xml:space="preserve">~72 audio hours / year</t>
  </si>
  <si>
    <t xml:space="preserve">Workflow-first voiceover plan</t>
  </si>
  <si>
    <t xml:space="preserve">No direct caption export at this level</t>
  </si>
  <si>
    <t xml:space="preserve">Shows premium workflow pricing can be much higher than low-end API math</t>
  </si>
  <si>
    <t xml:space="preserve">https://www.wellsaid.io/ai-voice-pricing</t>
  </si>
  <si>
    <t xml:space="preserve">Business</t>
  </si>
  <si>
    <t xml:space="preserve">Contact / higher tier</t>
  </si>
  <si>
    <t xml:space="preserve">~144 audio hours / year</t>
  </si>
  <si>
    <t xml:space="preserve">Team workflow plan</t>
  </si>
  <si>
    <t xml:space="preserve">Includes SRT and VTT export</t>
  </si>
  <si>
    <t xml:space="preserve">Caption convenience can be a paid differentiator</t>
  </si>
  <si>
    <t xml:space="preserve">Murf</t>
  </si>
  <si>
    <t xml:space="preserve">API PAYG</t>
  </si>
  <si>
    <t xml:space="preserve">$0.03 / 1000 chars</t>
  </si>
  <si>
    <t xml:space="preserve">Commodity API pressure</t>
  </si>
  <si>
    <t xml:space="preserve">No strong public subtitle story in this surfaced set</t>
  </si>
  <si>
    <t xml:space="preserve">Useful low-cost API reference, weaker wedge match</t>
  </si>
  <si>
    <t xml:space="preserve">https://help.murf.ai/murf-api-plans-and-limits</t>
  </si>
  <si>
    <t xml:space="preserve">Falcon</t>
  </si>
  <si>
    <t xml:space="preserve">$0.01 / min</t>
  </si>
  <si>
    <t xml:space="preserve">API model reference</t>
  </si>
  <si>
    <t xml:space="preserve">Fast low-latency voice path</t>
  </si>
  <si>
    <t xml:space="preserve">Good reminder that cheap API pricing exists in pockets</t>
  </si>
  <si>
    <t xml:space="preserve">https://murf.ai/text-to-speech</t>
  </si>
  <si>
    <t xml:space="preserve">Raphael</t>
  </si>
  <si>
    <t xml:space="preserve">Free / Premium / Ultimate</t>
  </si>
  <si>
    <t xml:space="preserve">Free / hidden paid prices</t>
  </si>
  <si>
    <t xml:space="preserve">10 credits/day + unlimited slow basic / 2000 / 5000 credits</t>
  </si>
  <si>
    <t xml:space="preserve">Not audio</t>
  </si>
  <si>
    <t xml:space="preserve">Borrow the low-friction funnel and tier clarity, not unlimited-free economics</t>
  </si>
  <si>
    <t xml:space="preserve">https://raphael.app/pricing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</si>
</sst>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\$#,##0.00"/>
    <numFmt numFmtId="167" formatCode="0.0%"/>
    <numFmt numFmtId="168" formatCode="0"/>
    <numFmt numFmtId="169" formatCode="0.00"/>
    <numFmt numFmtId="170" formatCode="\$#,##0.0000"/>
    <numFmt numFmtId="171" formatCode="#,##0"/>
    <numFmt numFmtId="172" formatCode="\$#,##0.000"/>
  </numFmts>
  <fonts count="10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theme="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  <charset val="1"/>
    </font>
    <font>
      <b val="true"/>
      <sz val="11"/>
      <color theme="0"/>
      <name val="Calibri"/>
      <family val="0"/>
      <charset val="1"/>
    </font>
    <font>
      <sz val="11"/>
      <name val="Arial Unicode M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6" tint="0.55"/>
        <bgColor rgb="FF99CCFF"/>
      </patternFill>
    </fill>
    <fill>
      <patternFill patternType="solid">
        <fgColor theme="5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9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4" fillId="0" borderId="0" xfId="2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75DF83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</cols>
  <sheetData>
    <row r="1" customFormat="false" ht="19.7" hidden="false" customHeight="false" outlineLevel="0" collapsed="false">
      <c r="A1" s="2" t="s">
        <v>0</v>
      </c>
      <c r="B1" s="2"/>
      <c r="C1" s="2"/>
      <c r="D1" s="2"/>
    </row>
    <row r="3" customFormat="false" ht="21.75" hidden="false" customHeight="true" outlineLevel="0" collapsed="false">
      <c r="A3" s="3" t="s">
        <v>1</v>
      </c>
      <c r="B3" s="4" t="s">
        <v>2</v>
      </c>
    </row>
    <row r="4" customFormat="false" ht="21.75" hidden="false" customHeight="true" outlineLevel="0" collapsed="false">
      <c r="A4" s="3" t="s">
        <v>3</v>
      </c>
      <c r="B4" s="5" t="n">
        <f aca="false">Assumptions!B6</f>
        <v>0.7</v>
      </c>
    </row>
    <row r="5" customFormat="false" ht="21.75" hidden="false" customHeight="true" outlineLevel="0" collapsed="false">
      <c r="A5" s="3" t="s">
        <v>4</v>
      </c>
      <c r="B5" s="6" t="n">
        <f aca="false">Assumptions!B16</f>
        <v>30.9178743961353</v>
      </c>
    </row>
    <row r="6" customFormat="false" ht="21.75" hidden="false" customHeight="true" outlineLevel="0" collapsed="false">
      <c r="A6" s="3" t="s">
        <v>5</v>
      </c>
      <c r="B6" s="7" t="n">
        <f aca="false">Provider_Scenarios!I4</f>
        <v>0.611125</v>
      </c>
    </row>
    <row r="7" customFormat="false" ht="21.75" hidden="false" customHeight="true" outlineLevel="0" collapsed="false">
      <c r="A7" s="3" t="s">
        <v>6</v>
      </c>
      <c r="B7" s="7" t="n">
        <f aca="false">Provider_Scenarios!I5</f>
        <v>0.611125</v>
      </c>
    </row>
    <row r="8" customFormat="false" ht="21.75" hidden="false" customHeight="true" outlineLevel="0" collapsed="false">
      <c r="A8" s="3" t="s">
        <v>7</v>
      </c>
      <c r="B8" s="7" t="n">
        <f aca="false">Provider_Scenarios!I6</f>
        <v>0.6577</v>
      </c>
    </row>
    <row r="9" customFormat="false" ht="21.75" hidden="false" customHeight="true" outlineLevel="0" collapsed="false">
      <c r="A9" s="3" t="s">
        <v>8</v>
      </c>
      <c r="B9" s="7" t="n">
        <f aca="false">Provider_Scenarios!I7</f>
        <v>0.704275</v>
      </c>
    </row>
    <row r="10" customFormat="false" ht="21.75" hidden="false" customHeight="true" outlineLevel="0" collapsed="false">
      <c r="A10" s="3" t="s">
        <v>9</v>
      </c>
      <c r="B10" s="7" t="n">
        <f aca="false">Provider_Scenarios!I10</f>
        <v>0.698686</v>
      </c>
    </row>
    <row r="11" customFormat="false" ht="15" hidden="false" customHeight="false" outlineLevel="0" collapsed="false">
      <c r="A11" s="8" t="s">
        <v>10</v>
      </c>
      <c r="B11" s="8" t="s">
        <v>11</v>
      </c>
    </row>
    <row r="12" customFormat="false" ht="48" hidden="false" customHeight="true" outlineLevel="0" collapsed="false">
      <c r="A12" s="9" t="s">
        <v>12</v>
      </c>
      <c r="B12" s="9"/>
      <c r="C12" s="9"/>
      <c r="D12" s="9"/>
    </row>
    <row r="13" customFormat="false" ht="102.2" hidden="false" customHeight="false" outlineLevel="0" collapsed="false">
      <c r="A13" s="9" t="s">
        <v>12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44"/>
    <col collapsed="false" customWidth="true" hidden="false" outlineLevel="0" max="4" min="4" style="1" width="42"/>
  </cols>
  <sheetData>
    <row r="1" customFormat="false" ht="19.7" hidden="false" customHeight="false" outlineLevel="0" collapsed="false">
      <c r="A1" s="2" t="s">
        <v>13</v>
      </c>
      <c r="B1" s="2"/>
      <c r="C1" s="2"/>
      <c r="D1" s="2"/>
    </row>
    <row r="3" customFormat="false" ht="21.75" hidden="false" customHeight="true" outlineLevel="0" collapsed="false">
      <c r="A3" s="10" t="s">
        <v>14</v>
      </c>
      <c r="B3" s="10" t="s">
        <v>15</v>
      </c>
      <c r="C3" s="10" t="s">
        <v>16</v>
      </c>
      <c r="D3" s="10" t="s">
        <v>17</v>
      </c>
    </row>
    <row r="4" customFormat="false" ht="21.75" hidden="false" customHeight="true" outlineLevel="0" collapsed="false">
      <c r="A4" s="3" t="s">
        <v>18</v>
      </c>
      <c r="B4" s="6" t="n">
        <v>20</v>
      </c>
      <c r="C4" s="4" t="s">
        <v>19</v>
      </c>
      <c r="D4" s="4" t="s">
        <v>20</v>
      </c>
    </row>
    <row r="5" customFormat="false" ht="21.75" hidden="false" customHeight="true" outlineLevel="0" collapsed="false">
      <c r="A5" s="3" t="s">
        <v>21</v>
      </c>
      <c r="B5" s="11" t="n">
        <v>90</v>
      </c>
      <c r="C5" s="4" t="s">
        <v>22</v>
      </c>
      <c r="D5" s="4" t="s">
        <v>20</v>
      </c>
    </row>
    <row r="6" customFormat="false" ht="21.75" hidden="false" customHeight="true" outlineLevel="0" collapsed="false">
      <c r="A6" s="3" t="s">
        <v>3</v>
      </c>
      <c r="B6" s="5" t="n">
        <v>0.7</v>
      </c>
      <c r="C6" s="4" t="s">
        <v>23</v>
      </c>
      <c r="D6" s="4" t="s">
        <v>20</v>
      </c>
    </row>
    <row r="7" customFormat="false" ht="21.75" hidden="false" customHeight="true" outlineLevel="0" collapsed="false">
      <c r="A7" s="3" t="s">
        <v>24</v>
      </c>
      <c r="B7" s="5" t="n">
        <v>0.03</v>
      </c>
      <c r="C7" s="4" t="s">
        <v>25</v>
      </c>
      <c r="D7" s="4" t="s">
        <v>20</v>
      </c>
    </row>
    <row r="8" customFormat="false" ht="21.75" hidden="false" customHeight="true" outlineLevel="0" collapsed="false">
      <c r="A8" s="3" t="s">
        <v>26</v>
      </c>
      <c r="B8" s="12" t="n">
        <v>900</v>
      </c>
      <c r="C8" s="4" t="s">
        <v>27</v>
      </c>
      <c r="D8" s="4" t="s">
        <v>20</v>
      </c>
    </row>
    <row r="9" customFormat="false" ht="21.75" hidden="false" customHeight="true" outlineLevel="0" collapsed="false">
      <c r="A9" s="3" t="s">
        <v>28</v>
      </c>
      <c r="B9" s="12" t="n">
        <v>1.15</v>
      </c>
      <c r="C9" s="4" t="s">
        <v>29</v>
      </c>
      <c r="D9" s="4" t="s">
        <v>20</v>
      </c>
    </row>
    <row r="10" customFormat="false" ht="21.75" hidden="false" customHeight="true" outlineLevel="0" collapsed="false">
      <c r="A10" s="3" t="s">
        <v>30</v>
      </c>
      <c r="B10" s="13" t="n">
        <v>0.016</v>
      </c>
      <c r="C10" s="4" t="s">
        <v>31</v>
      </c>
      <c r="D10" s="4" t="s">
        <v>32</v>
      </c>
    </row>
    <row r="11" customFormat="false" ht="21.75" hidden="false" customHeight="true" outlineLevel="0" collapsed="false">
      <c r="A11" s="3" t="s">
        <v>33</v>
      </c>
      <c r="B11" s="13" t="n">
        <v>0.01</v>
      </c>
      <c r="C11" s="4" t="s">
        <v>34</v>
      </c>
      <c r="D11" s="4" t="s">
        <v>35</v>
      </c>
    </row>
    <row r="12" customFormat="false" ht="21.75" hidden="false" customHeight="true" outlineLevel="0" collapsed="false">
      <c r="A12" s="3" t="s">
        <v>36</v>
      </c>
      <c r="B12" s="13" t="n">
        <v>0.002</v>
      </c>
      <c r="C12" s="4" t="s">
        <v>37</v>
      </c>
      <c r="D12" s="4" t="s">
        <v>35</v>
      </c>
    </row>
    <row r="13" customFormat="false" ht="21.75" hidden="false" customHeight="true" outlineLevel="0" collapsed="false">
      <c r="A13" s="3" t="s">
        <v>38</v>
      </c>
      <c r="B13" s="13" t="n">
        <f aca="false">SUM(B10:B12)</f>
        <v>0.028</v>
      </c>
      <c r="C13" s="4" t="s">
        <v>39</v>
      </c>
      <c r="D13" s="4" t="s">
        <v>40</v>
      </c>
    </row>
    <row r="14" customFormat="false" ht="21.75" hidden="false" customHeight="true" outlineLevel="0" collapsed="false">
      <c r="A14" s="3" t="s">
        <v>41</v>
      </c>
      <c r="B14" s="13" t="n">
        <f aca="false">B4*(1-B6-B7)</f>
        <v>5.4</v>
      </c>
      <c r="C14" s="4" t="s">
        <v>42</v>
      </c>
      <c r="D14" s="4" t="s">
        <v>40</v>
      </c>
    </row>
    <row r="15" customFormat="false" ht="21.75" hidden="false" customHeight="true" outlineLevel="0" collapsed="false">
      <c r="A15" s="3" t="s">
        <v>43</v>
      </c>
      <c r="B15" s="13" t="n">
        <f aca="false">B14/B5</f>
        <v>0.06</v>
      </c>
      <c r="C15" s="4" t="s">
        <v>44</v>
      </c>
      <c r="D15" s="4" t="s">
        <v>40</v>
      </c>
    </row>
    <row r="16" customFormat="false" ht="21.75" hidden="false" customHeight="true" outlineLevel="0" collapsed="false">
      <c r="A16" s="3" t="s">
        <v>4</v>
      </c>
      <c r="B16" s="13" t="n">
        <f aca="false">((B15-B13)/B9)*(1000000/B8)</f>
        <v>30.9178743961353</v>
      </c>
      <c r="C16" s="4" t="s">
        <v>45</v>
      </c>
      <c r="D16" s="4" t="s">
        <v>40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10" min="4" style="1" width="18"/>
    <col collapsed="false" customWidth="true" hidden="false" outlineLevel="0" max="11" min="11" style="1" width="42"/>
    <col collapsed="false" customWidth="true" hidden="false" outlineLevel="0" max="12" min="12" style="1" width="36"/>
  </cols>
  <sheetData>
    <row r="1" customFormat="false" ht="19.7" hidden="false" customHeight="false" outlineLevel="0" collapsed="false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16</v>
      </c>
      <c r="L3" s="10" t="s">
        <v>57</v>
      </c>
    </row>
    <row r="4" customFormat="false" ht="21.75" hidden="false" customHeight="true" outlineLevel="0" collapsed="false">
      <c r="A4" s="3" t="s">
        <v>58</v>
      </c>
      <c r="B4" s="3" t="s">
        <v>59</v>
      </c>
      <c r="C4" s="6" t="s">
        <v>60</v>
      </c>
      <c r="D4" s="14"/>
      <c r="E4" s="15" t="n">
        <v>50</v>
      </c>
      <c r="F4" s="4" t="n">
        <f aca="false">(E4/1000000*Assumptions!$B$8)*Assumptions!$B$9</f>
        <v>0.05175</v>
      </c>
      <c r="G4" s="4" t="n">
        <f aca="false">F4+Assumptions!$B$13</f>
        <v>0.07975</v>
      </c>
      <c r="H4" s="4" t="n">
        <f aca="false">G4*Assumptions!$B$5</f>
        <v>7.1775</v>
      </c>
      <c r="I4" s="7" t="n">
        <f aca="false">(Assumptions!$B$4-H4-Assumptions!$B$4*Assumptions!$B$7)/Assumptions!$B$4</f>
        <v>0.611125</v>
      </c>
      <c r="J4" s="4" t="str">
        <f aca="false">IF(I4&gt;=Assumptions!$B$6,"PASS","FAIL")</f>
        <v>FAIL</v>
      </c>
      <c r="K4" s="4" t="s">
        <v>61</v>
      </c>
      <c r="L4" s="4" t="s">
        <v>62</v>
      </c>
    </row>
    <row r="5" customFormat="false" ht="21.75" hidden="false" customHeight="true" outlineLevel="0" collapsed="false">
      <c r="A5" s="3" t="s">
        <v>58</v>
      </c>
      <c r="B5" s="3" t="s">
        <v>63</v>
      </c>
      <c r="C5" s="6" t="n">
        <v>25</v>
      </c>
      <c r="D5" s="14"/>
      <c r="E5" s="15" t="n">
        <v>50</v>
      </c>
      <c r="F5" s="4" t="n">
        <f aca="false">(E5/1000000*Assumptions!$B$8)*Assumptions!$B$9</f>
        <v>0.05175</v>
      </c>
      <c r="G5" s="4" t="n">
        <f aca="false">F5+Assumptions!$B$13</f>
        <v>0.07975</v>
      </c>
      <c r="H5" s="4" t="n">
        <f aca="false">G5*Assumptions!$B$5</f>
        <v>7.1775</v>
      </c>
      <c r="I5" s="7" t="n">
        <f aca="false">(Assumptions!$B$4-H5-Assumptions!$B$4*Assumptions!$B$7)/Assumptions!$B$4</f>
        <v>0.611125</v>
      </c>
      <c r="J5" s="4" t="str">
        <f aca="false">IF(I5&gt;=Assumptions!$B$6,"PASS","FAIL")</f>
        <v>FAIL</v>
      </c>
      <c r="K5" s="4" t="s">
        <v>64</v>
      </c>
      <c r="L5" s="4" t="s">
        <v>65</v>
      </c>
    </row>
    <row r="6" customFormat="false" ht="21.75" hidden="false" customHeight="true" outlineLevel="0" collapsed="false">
      <c r="A6" s="3" t="s">
        <v>58</v>
      </c>
      <c r="B6" s="3" t="s">
        <v>66</v>
      </c>
      <c r="C6" s="6" t="n">
        <v>300</v>
      </c>
      <c r="D6" s="14"/>
      <c r="E6" s="15" t="n">
        <v>40</v>
      </c>
      <c r="F6" s="4" t="n">
        <f aca="false">(E6/1000000*Assumptions!$B$8)*Assumptions!$B$9</f>
        <v>0.0414</v>
      </c>
      <c r="G6" s="4" t="n">
        <f aca="false">F6+Assumptions!$B$13</f>
        <v>0.0694</v>
      </c>
      <c r="H6" s="4" t="n">
        <f aca="false">G6*Assumptions!$B$5</f>
        <v>6.246</v>
      </c>
      <c r="I6" s="7" t="n">
        <f aca="false">(Assumptions!$B$4-H6-Assumptions!$B$4*Assumptions!$B$7)/Assumptions!$B$4</f>
        <v>0.6577</v>
      </c>
      <c r="J6" s="4" t="str">
        <f aca="false">IF(I6&gt;=Assumptions!$B$6,"PASS","FAIL")</f>
        <v>FAIL</v>
      </c>
      <c r="K6" s="4" t="s">
        <v>67</v>
      </c>
      <c r="L6" s="4" t="s">
        <v>65</v>
      </c>
    </row>
    <row r="7" customFormat="false" ht="21.75" hidden="false" customHeight="true" outlineLevel="0" collapsed="false">
      <c r="A7" s="3" t="s">
        <v>58</v>
      </c>
      <c r="B7" s="3" t="s">
        <v>68</v>
      </c>
      <c r="C7" s="6" t="n">
        <v>1500</v>
      </c>
      <c r="D7" s="14"/>
      <c r="E7" s="15" t="n">
        <v>30</v>
      </c>
      <c r="F7" s="4" t="n">
        <f aca="false">(E7/1000000*Assumptions!$B$8)*Assumptions!$B$9</f>
        <v>0.03105</v>
      </c>
      <c r="G7" s="4" t="n">
        <f aca="false">F7+Assumptions!$B$13</f>
        <v>0.05905</v>
      </c>
      <c r="H7" s="4" t="n">
        <f aca="false">G7*Assumptions!$B$5</f>
        <v>5.3145</v>
      </c>
      <c r="I7" s="7" t="n">
        <f aca="false">(Assumptions!$B$4-H7-Assumptions!$B$4*Assumptions!$B$7)/Assumptions!$B$4</f>
        <v>0.704275</v>
      </c>
      <c r="J7" s="4" t="str">
        <f aca="false">IF(I7&gt;=Assumptions!$B$6,"PASS","FAIL")</f>
        <v>PASS</v>
      </c>
      <c r="K7" s="4" t="s">
        <v>69</v>
      </c>
      <c r="L7" s="4" t="s">
        <v>65</v>
      </c>
    </row>
    <row r="8" customFormat="false" ht="21.75" hidden="false" customHeight="true" outlineLevel="0" collapsed="false">
      <c r="A8" s="3" t="s">
        <v>58</v>
      </c>
      <c r="B8" s="3" t="s">
        <v>70</v>
      </c>
      <c r="C8" s="6"/>
      <c r="D8" s="14"/>
      <c r="E8" s="15" t="n">
        <v>10</v>
      </c>
      <c r="F8" s="4" t="n">
        <f aca="false">(E8/1000000*Assumptions!$B$8)*Assumptions!$B$9</f>
        <v>0.01035</v>
      </c>
      <c r="G8" s="4" t="n">
        <f aca="false">F8+Assumptions!$B$13</f>
        <v>0.03835</v>
      </c>
      <c r="H8" s="4" t="n">
        <f aca="false">G8*Assumptions!$B$5</f>
        <v>3.4515</v>
      </c>
      <c r="I8" s="7" t="n">
        <f aca="false">(Assumptions!$B$4-H8-Assumptions!$B$4*Assumptions!$B$7)/Assumptions!$B$4</f>
        <v>0.797425</v>
      </c>
      <c r="J8" s="4" t="str">
        <f aca="false">IF(I8&gt;=Assumptions!$B$6,"PASS","FAIL")</f>
        <v>PASS</v>
      </c>
      <c r="K8" s="4" t="s">
        <v>71</v>
      </c>
      <c r="L8" s="4" t="s">
        <v>72</v>
      </c>
    </row>
    <row r="9" customFormat="false" ht="21.75" hidden="false" customHeight="true" outlineLevel="0" collapsed="false">
      <c r="A9" s="3" t="s">
        <v>73</v>
      </c>
      <c r="B9" s="3" t="s">
        <v>74</v>
      </c>
      <c r="C9" s="6" t="n">
        <v>239</v>
      </c>
      <c r="D9" s="14" t="n">
        <v>8000000</v>
      </c>
      <c r="E9" s="15" t="n">
        <f aca="false">C9/D9*1000000</f>
        <v>29.875</v>
      </c>
      <c r="F9" s="4" t="n">
        <f aca="false">(E9/1000000*Assumptions!$B$8)*Assumptions!$B$9</f>
        <v>0.030920625</v>
      </c>
      <c r="G9" s="4" t="n">
        <f aca="false">F9+Assumptions!$B$13</f>
        <v>0.058920625</v>
      </c>
      <c r="H9" s="4" t="n">
        <f aca="false">G9*Assumptions!$B$5</f>
        <v>5.30285625</v>
      </c>
      <c r="I9" s="7" t="n">
        <f aca="false">(Assumptions!$B$4-H9-Assumptions!$B$4*Assumptions!$B$7)/Assumptions!$B$4</f>
        <v>0.7048571875</v>
      </c>
      <c r="J9" s="4" t="str">
        <f aca="false">IF(I9&gt;=Assumptions!$B$6,"PASS","FAIL")</f>
        <v>PASS</v>
      </c>
      <c r="K9" s="4" t="s">
        <v>75</v>
      </c>
      <c r="L9" s="4" t="s">
        <v>76</v>
      </c>
    </row>
    <row r="10" customFormat="false" ht="21.75" hidden="false" customHeight="true" outlineLevel="0" collapsed="false">
      <c r="A10" s="3" t="s">
        <v>73</v>
      </c>
      <c r="B10" s="3" t="s">
        <v>77</v>
      </c>
      <c r="C10" s="6" t="n">
        <v>39</v>
      </c>
      <c r="D10" s="14" t="n">
        <v>1250000</v>
      </c>
      <c r="E10" s="15" t="n">
        <f aca="false">C10/D10*1000000</f>
        <v>31.2</v>
      </c>
      <c r="F10" s="4" t="n">
        <f aca="false">(E10/1000000*Assumptions!$B$8)*Assumptions!$B$9</f>
        <v>0.032292</v>
      </c>
      <c r="G10" s="4" t="n">
        <f aca="false">F10+Assumptions!$B$13</f>
        <v>0.060292</v>
      </c>
      <c r="H10" s="4" t="n">
        <f aca="false">G10*Assumptions!$B$5</f>
        <v>5.42628</v>
      </c>
      <c r="I10" s="7" t="n">
        <f aca="false">(Assumptions!$B$4-H10-Assumptions!$B$4*Assumptions!$B$7)/Assumptions!$B$4</f>
        <v>0.698686</v>
      </c>
      <c r="J10" s="4" t="str">
        <f aca="false">IF(I10&gt;=Assumptions!$B$6,"PASS","FAIL")</f>
        <v>FAIL</v>
      </c>
      <c r="K10" s="4" t="s">
        <v>78</v>
      </c>
      <c r="L10" s="4" t="s">
        <v>76</v>
      </c>
    </row>
    <row r="11" customFormat="false" ht="16.4" hidden="false" customHeight="false" outlineLevel="0" collapsed="false">
      <c r="A11" s="3" t="s">
        <v>73</v>
      </c>
      <c r="B11" s="3" t="s">
        <v>79</v>
      </c>
      <c r="C11" s="6" t="n">
        <v>4</v>
      </c>
      <c r="D11" s="14" t="n">
        <v>100000</v>
      </c>
      <c r="E11" s="15" t="n">
        <f aca="false">C11/D11*1000000</f>
        <v>40</v>
      </c>
      <c r="F11" s="4" t="n">
        <f aca="false">(E11/1000000*Assumptions!$B$8)*Assumptions!$B$9</f>
        <v>0.0414</v>
      </c>
      <c r="G11" s="4" t="n">
        <f aca="false">F11+Assumptions!$B$13</f>
        <v>0.0694</v>
      </c>
      <c r="H11" s="4" t="n">
        <f aca="false">G11*Assumptions!$B$5</f>
        <v>6.246</v>
      </c>
      <c r="I11" s="7" t="n">
        <f aca="false">(Assumptions!$B$4-H11-Assumptions!$B$4*Assumptions!$B$7)/Assumptions!$B$4</f>
        <v>0.6577</v>
      </c>
      <c r="J11" s="4" t="str">
        <f aca="false">IF(I11&gt;=Assumptions!$B$6,"PASS","FAIL")</f>
        <v>FAIL</v>
      </c>
      <c r="K11" s="4" t="s">
        <v>80</v>
      </c>
      <c r="L11" s="4" t="s">
        <v>76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42"/>
    <col collapsed="false" customWidth="true" hidden="false" outlineLevel="0" max="8" min="8" style="1" width="36"/>
  </cols>
  <sheetData>
    <row r="1" customFormat="false" ht="19.7" hidden="false" customHeight="fals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24" hidden="false" customHeight="true" outlineLevel="0" collapsed="false">
      <c r="A3" s="10" t="s">
        <v>82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57</v>
      </c>
    </row>
    <row r="4" customFormat="false" ht="24" hidden="false" customHeight="true" outlineLevel="0" collapsed="false">
      <c r="A4" s="3" t="s">
        <v>89</v>
      </c>
      <c r="B4" s="3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</row>
    <row r="5" customFormat="false" ht="24" hidden="false" customHeight="true" outlineLevel="0" collapsed="false">
      <c r="A5" s="3" t="s">
        <v>89</v>
      </c>
      <c r="B5" s="3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96</v>
      </c>
    </row>
    <row r="6" customFormat="false" ht="24" hidden="false" customHeight="true" outlineLevel="0" collapsed="false">
      <c r="A6" s="3" t="s">
        <v>89</v>
      </c>
      <c r="B6" s="3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96</v>
      </c>
    </row>
    <row r="7" customFormat="false" ht="24" hidden="false" customHeight="true" outlineLevel="0" collapsed="false">
      <c r="A7" s="3" t="s">
        <v>89</v>
      </c>
      <c r="B7" s="3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</row>
    <row r="8" customFormat="false" ht="24" hidden="false" customHeight="true" outlineLevel="0" collapsed="false">
      <c r="A8" s="3" t="s">
        <v>116</v>
      </c>
      <c r="B8" s="3" t="s">
        <v>117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122</v>
      </c>
      <c r="H8" s="4" t="s">
        <v>123</v>
      </c>
    </row>
    <row r="9" customFormat="false" ht="24" hidden="false" customHeight="true" outlineLevel="0" collapsed="false">
      <c r="A9" s="3" t="s">
        <v>116</v>
      </c>
      <c r="B9" s="3" t="s">
        <v>124</v>
      </c>
      <c r="C9" s="4" t="s">
        <v>125</v>
      </c>
      <c r="D9" s="4" t="s">
        <v>126</v>
      </c>
      <c r="E9" s="4" t="s">
        <v>127</v>
      </c>
      <c r="F9" s="4" t="s">
        <v>128</v>
      </c>
      <c r="G9" s="4" t="s">
        <v>129</v>
      </c>
      <c r="H9" s="4" t="s">
        <v>123</v>
      </c>
    </row>
    <row r="10" customFormat="false" ht="24" hidden="false" customHeight="true" outlineLevel="0" collapsed="false">
      <c r="A10" s="3" t="s">
        <v>130</v>
      </c>
      <c r="B10" s="3" t="s">
        <v>131</v>
      </c>
      <c r="C10" s="4" t="s">
        <v>132</v>
      </c>
      <c r="D10" s="4" t="s">
        <v>60</v>
      </c>
      <c r="E10" s="4" t="s">
        <v>133</v>
      </c>
      <c r="F10" s="4" t="s">
        <v>134</v>
      </c>
      <c r="G10" s="4" t="s">
        <v>135</v>
      </c>
      <c r="H10" s="4" t="s">
        <v>136</v>
      </c>
    </row>
    <row r="11" customFormat="false" ht="24" hidden="false" customHeight="true" outlineLevel="0" collapsed="false">
      <c r="A11" s="3" t="s">
        <v>130</v>
      </c>
      <c r="B11" s="3" t="s">
        <v>137</v>
      </c>
      <c r="C11" s="4" t="s">
        <v>138</v>
      </c>
      <c r="D11" s="4" t="s">
        <v>139</v>
      </c>
      <c r="E11" s="4" t="s">
        <v>140</v>
      </c>
      <c r="F11" s="4" t="s">
        <v>110</v>
      </c>
      <c r="G11" s="4" t="s">
        <v>141</v>
      </c>
      <c r="H11" s="4" t="s">
        <v>142</v>
      </c>
    </row>
    <row r="12" customFormat="false" ht="24" hidden="false" customHeight="true" outlineLevel="0" collapsed="false">
      <c r="A12" s="3" t="s">
        <v>143</v>
      </c>
      <c r="B12" s="3" t="s">
        <v>144</v>
      </c>
      <c r="C12" s="4" t="s">
        <v>145</v>
      </c>
      <c r="D12" s="4" t="s">
        <v>146</v>
      </c>
      <c r="E12" s="4" t="s">
        <v>147</v>
      </c>
      <c r="F12" s="4" t="s">
        <v>110</v>
      </c>
      <c r="G12" s="4" t="s">
        <v>148</v>
      </c>
      <c r="H12" s="4" t="s">
        <v>149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2026-04-25T16:27:04Z</dcterms:created>
  <dc:creator>openpyxl</dc:creator>
  <dc:description/>
  <dc:language>zh-CN</dc:language>
  <cp:lastModifiedBy/>
  <dcterms:modified xsi:type="dcterms:W3CDTF">2026-04-25T16:28:42Z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